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traftonobrien/Downloads/"/>
    </mc:Choice>
  </mc:AlternateContent>
  <xr:revisionPtr revIDLastSave="0" documentId="13_ncr:1_{B07A1C69-95AC-464F-80BE-B690B0289BE7}" xr6:coauthVersionLast="47" xr6:coauthVersionMax="47" xr10:uidLastSave="{00000000-0000-0000-0000-000000000000}"/>
  <bookViews>
    <workbookView xWindow="8100" yWindow="660" windowWidth="22080" windowHeight="17240" tabRatio="500" xr2:uid="{00000000-000D-0000-FFFF-FFFF00000000}"/>
  </bookViews>
  <sheets>
    <sheet name="Live_Input" sheetId="1" r:id="rId1"/>
    <sheet name="Logic_Core" sheetId="2" r:id="rId2"/>
    <sheet name="RealTime_Prediction" sheetId="3" r:id="rId3"/>
    <sheet name="DeepScan_Engine" sheetId="4" r:id="rId4"/>
    <sheet name="VBA_Macro" sheetId="5" r:id="rId5"/>
    <sheet name="Instructio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" l="1"/>
  <c r="B11" i="3"/>
  <c r="B3" i="3"/>
  <c r="H23" i="2"/>
  <c r="G23" i="2"/>
  <c r="F23" i="2"/>
  <c r="E23" i="2"/>
  <c r="D23" i="2"/>
  <c r="J23" i="2" s="1"/>
  <c r="K23" i="2" s="1"/>
  <c r="U102" i="1"/>
  <c r="S102" i="1"/>
  <c r="R102" i="1"/>
  <c r="Q102" i="1"/>
  <c r="P102" i="1"/>
  <c r="O102" i="1"/>
  <c r="T102" i="1" s="1"/>
  <c r="W102" i="1" s="1"/>
  <c r="N102" i="1"/>
  <c r="M102" i="1"/>
  <c r="J102" i="1"/>
  <c r="I102" i="1"/>
  <c r="H102" i="1"/>
  <c r="G102" i="1"/>
  <c r="F102" i="1"/>
  <c r="E102" i="1"/>
  <c r="U101" i="1"/>
  <c r="S101" i="1"/>
  <c r="T101" i="1" s="1"/>
  <c r="W101" i="1" s="1"/>
  <c r="R101" i="1"/>
  <c r="Q101" i="1"/>
  <c r="P101" i="1"/>
  <c r="O101" i="1"/>
  <c r="N101" i="1"/>
  <c r="M101" i="1"/>
  <c r="J101" i="1"/>
  <c r="I101" i="1"/>
  <c r="H101" i="1"/>
  <c r="G101" i="1"/>
  <c r="F101" i="1"/>
  <c r="E101" i="1"/>
  <c r="U100" i="1"/>
  <c r="S100" i="1"/>
  <c r="R100" i="1"/>
  <c r="T100" i="1" s="1"/>
  <c r="W100" i="1" s="1"/>
  <c r="Q100" i="1"/>
  <c r="P100" i="1"/>
  <c r="O100" i="1"/>
  <c r="N100" i="1"/>
  <c r="M100" i="1"/>
  <c r="J100" i="1"/>
  <c r="I100" i="1"/>
  <c r="H100" i="1"/>
  <c r="G100" i="1"/>
  <c r="F100" i="1"/>
  <c r="E100" i="1"/>
  <c r="U99" i="1"/>
  <c r="S99" i="1"/>
  <c r="R99" i="1"/>
  <c r="Q99" i="1"/>
  <c r="P99" i="1"/>
  <c r="O99" i="1"/>
  <c r="N99" i="1"/>
  <c r="M99" i="1"/>
  <c r="J99" i="1"/>
  <c r="I99" i="1"/>
  <c r="H99" i="1"/>
  <c r="G99" i="1"/>
  <c r="F99" i="1"/>
  <c r="E99" i="1"/>
  <c r="U98" i="1"/>
  <c r="S98" i="1"/>
  <c r="R98" i="1"/>
  <c r="Q98" i="1"/>
  <c r="P98" i="1"/>
  <c r="O98" i="1"/>
  <c r="N98" i="1"/>
  <c r="M98" i="1"/>
  <c r="J98" i="1"/>
  <c r="I98" i="1"/>
  <c r="H98" i="1"/>
  <c r="G98" i="1"/>
  <c r="F98" i="1"/>
  <c r="E98" i="1"/>
  <c r="W97" i="1"/>
  <c r="U97" i="1"/>
  <c r="S97" i="1"/>
  <c r="R97" i="1"/>
  <c r="Q97" i="1"/>
  <c r="P97" i="1"/>
  <c r="T97" i="1" s="1"/>
  <c r="O97" i="1"/>
  <c r="N97" i="1"/>
  <c r="M97" i="1"/>
  <c r="J97" i="1"/>
  <c r="I97" i="1"/>
  <c r="H97" i="1"/>
  <c r="G97" i="1"/>
  <c r="F97" i="1"/>
  <c r="E97" i="1"/>
  <c r="U96" i="1"/>
  <c r="S96" i="1"/>
  <c r="R96" i="1"/>
  <c r="Q96" i="1"/>
  <c r="P96" i="1"/>
  <c r="T96" i="1" s="1"/>
  <c r="W96" i="1" s="1"/>
  <c r="O96" i="1"/>
  <c r="N96" i="1"/>
  <c r="M96" i="1"/>
  <c r="J96" i="1"/>
  <c r="I96" i="1"/>
  <c r="H96" i="1"/>
  <c r="G96" i="1"/>
  <c r="F96" i="1"/>
  <c r="E96" i="1"/>
  <c r="U95" i="1"/>
  <c r="T95" i="1"/>
  <c r="W95" i="1" s="1"/>
  <c r="S95" i="1"/>
  <c r="R95" i="1"/>
  <c r="Q95" i="1"/>
  <c r="P95" i="1"/>
  <c r="O95" i="1"/>
  <c r="N95" i="1"/>
  <c r="M95" i="1"/>
  <c r="J95" i="1"/>
  <c r="I95" i="1"/>
  <c r="H95" i="1"/>
  <c r="G95" i="1"/>
  <c r="F95" i="1"/>
  <c r="E95" i="1"/>
  <c r="U94" i="1"/>
  <c r="S94" i="1"/>
  <c r="T94" i="1" s="1"/>
  <c r="W94" i="1" s="1"/>
  <c r="R94" i="1"/>
  <c r="Q94" i="1"/>
  <c r="P94" i="1"/>
  <c r="O94" i="1"/>
  <c r="N94" i="1"/>
  <c r="M94" i="1"/>
  <c r="J94" i="1"/>
  <c r="I94" i="1"/>
  <c r="H94" i="1"/>
  <c r="G94" i="1"/>
  <c r="F94" i="1"/>
  <c r="E94" i="1"/>
  <c r="U93" i="1"/>
  <c r="S93" i="1"/>
  <c r="R93" i="1"/>
  <c r="Q93" i="1"/>
  <c r="P93" i="1"/>
  <c r="O93" i="1"/>
  <c r="N93" i="1"/>
  <c r="M93" i="1"/>
  <c r="J93" i="1"/>
  <c r="I93" i="1"/>
  <c r="H93" i="1"/>
  <c r="G93" i="1"/>
  <c r="F93" i="1"/>
  <c r="E93" i="1"/>
  <c r="U92" i="1"/>
  <c r="S92" i="1"/>
  <c r="R92" i="1"/>
  <c r="Q92" i="1"/>
  <c r="P92" i="1"/>
  <c r="T92" i="1" s="1"/>
  <c r="W92" i="1" s="1"/>
  <c r="O92" i="1"/>
  <c r="N92" i="1"/>
  <c r="M92" i="1"/>
  <c r="J92" i="1"/>
  <c r="I92" i="1"/>
  <c r="H92" i="1"/>
  <c r="G92" i="1"/>
  <c r="F92" i="1"/>
  <c r="E92" i="1"/>
  <c r="U91" i="1"/>
  <c r="S91" i="1"/>
  <c r="R91" i="1"/>
  <c r="Q91" i="1"/>
  <c r="T91" i="1" s="1"/>
  <c r="W91" i="1" s="1"/>
  <c r="P91" i="1"/>
  <c r="O91" i="1"/>
  <c r="N91" i="1"/>
  <c r="M91" i="1"/>
  <c r="J91" i="1"/>
  <c r="I91" i="1"/>
  <c r="H91" i="1"/>
  <c r="G91" i="1"/>
  <c r="F91" i="1"/>
  <c r="E91" i="1"/>
  <c r="U90" i="1"/>
  <c r="S90" i="1"/>
  <c r="R90" i="1"/>
  <c r="Q90" i="1"/>
  <c r="P90" i="1"/>
  <c r="T90" i="1" s="1"/>
  <c r="W90" i="1" s="1"/>
  <c r="O90" i="1"/>
  <c r="N90" i="1"/>
  <c r="M90" i="1"/>
  <c r="J90" i="1"/>
  <c r="I90" i="1"/>
  <c r="H90" i="1"/>
  <c r="G90" i="1"/>
  <c r="F90" i="1"/>
  <c r="E90" i="1"/>
  <c r="U89" i="1"/>
  <c r="S89" i="1"/>
  <c r="R89" i="1"/>
  <c r="Q89" i="1"/>
  <c r="P89" i="1"/>
  <c r="T89" i="1" s="1"/>
  <c r="W89" i="1" s="1"/>
  <c r="O89" i="1"/>
  <c r="N89" i="1"/>
  <c r="M89" i="1"/>
  <c r="J89" i="1"/>
  <c r="I89" i="1"/>
  <c r="H89" i="1"/>
  <c r="G89" i="1"/>
  <c r="F89" i="1"/>
  <c r="E89" i="1"/>
  <c r="U88" i="1"/>
  <c r="S88" i="1"/>
  <c r="R88" i="1"/>
  <c r="Q88" i="1"/>
  <c r="P88" i="1"/>
  <c r="O88" i="1"/>
  <c r="T88" i="1" s="1"/>
  <c r="W88" i="1" s="1"/>
  <c r="N88" i="1"/>
  <c r="M88" i="1"/>
  <c r="J88" i="1"/>
  <c r="I88" i="1"/>
  <c r="H88" i="1"/>
  <c r="G88" i="1"/>
  <c r="F88" i="1"/>
  <c r="E88" i="1"/>
  <c r="U87" i="1"/>
  <c r="S87" i="1"/>
  <c r="T87" i="1" s="1"/>
  <c r="W87" i="1" s="1"/>
  <c r="R87" i="1"/>
  <c r="Q87" i="1"/>
  <c r="P87" i="1"/>
  <c r="O87" i="1"/>
  <c r="N87" i="1"/>
  <c r="M87" i="1"/>
  <c r="J87" i="1"/>
  <c r="I87" i="1"/>
  <c r="H87" i="1"/>
  <c r="G87" i="1"/>
  <c r="F87" i="1"/>
  <c r="E87" i="1"/>
  <c r="U86" i="1"/>
  <c r="S86" i="1"/>
  <c r="R86" i="1"/>
  <c r="T86" i="1" s="1"/>
  <c r="W86" i="1" s="1"/>
  <c r="Q86" i="1"/>
  <c r="P86" i="1"/>
  <c r="O86" i="1"/>
  <c r="N86" i="1"/>
  <c r="M86" i="1"/>
  <c r="J86" i="1"/>
  <c r="I86" i="1"/>
  <c r="H86" i="1"/>
  <c r="G86" i="1"/>
  <c r="F86" i="1"/>
  <c r="E86" i="1"/>
  <c r="U85" i="1"/>
  <c r="S85" i="1"/>
  <c r="R85" i="1"/>
  <c r="Q85" i="1"/>
  <c r="P85" i="1"/>
  <c r="O85" i="1"/>
  <c r="N85" i="1"/>
  <c r="M85" i="1"/>
  <c r="J85" i="1"/>
  <c r="I85" i="1"/>
  <c r="H85" i="1"/>
  <c r="G85" i="1"/>
  <c r="F85" i="1"/>
  <c r="E85" i="1"/>
  <c r="U84" i="1"/>
  <c r="S84" i="1"/>
  <c r="R84" i="1"/>
  <c r="Q84" i="1"/>
  <c r="P84" i="1"/>
  <c r="O84" i="1"/>
  <c r="N84" i="1"/>
  <c r="M84" i="1"/>
  <c r="J84" i="1"/>
  <c r="I84" i="1"/>
  <c r="H84" i="1"/>
  <c r="G84" i="1"/>
  <c r="F84" i="1"/>
  <c r="E84" i="1"/>
  <c r="W83" i="1"/>
  <c r="U83" i="1"/>
  <c r="S83" i="1"/>
  <c r="R83" i="1"/>
  <c r="Q83" i="1"/>
  <c r="P83" i="1"/>
  <c r="T83" i="1" s="1"/>
  <c r="O83" i="1"/>
  <c r="N83" i="1"/>
  <c r="M83" i="1"/>
  <c r="J83" i="1"/>
  <c r="I83" i="1"/>
  <c r="H83" i="1"/>
  <c r="G83" i="1"/>
  <c r="F83" i="1"/>
  <c r="E83" i="1"/>
  <c r="U82" i="1"/>
  <c r="S82" i="1"/>
  <c r="R82" i="1"/>
  <c r="Q82" i="1"/>
  <c r="P82" i="1"/>
  <c r="T82" i="1" s="1"/>
  <c r="W82" i="1" s="1"/>
  <c r="O82" i="1"/>
  <c r="N82" i="1"/>
  <c r="M82" i="1"/>
  <c r="J82" i="1"/>
  <c r="I82" i="1"/>
  <c r="H82" i="1"/>
  <c r="G82" i="1"/>
  <c r="F82" i="1"/>
  <c r="E82" i="1"/>
  <c r="U81" i="1"/>
  <c r="T81" i="1"/>
  <c r="W81" i="1" s="1"/>
  <c r="S81" i="1"/>
  <c r="R81" i="1"/>
  <c r="Q81" i="1"/>
  <c r="P81" i="1"/>
  <c r="O81" i="1"/>
  <c r="N81" i="1"/>
  <c r="M81" i="1"/>
  <c r="J81" i="1"/>
  <c r="I81" i="1"/>
  <c r="H81" i="1"/>
  <c r="G81" i="1"/>
  <c r="F81" i="1"/>
  <c r="E81" i="1"/>
  <c r="U80" i="1"/>
  <c r="S80" i="1"/>
  <c r="T80" i="1" s="1"/>
  <c r="W80" i="1" s="1"/>
  <c r="R80" i="1"/>
  <c r="Q80" i="1"/>
  <c r="P80" i="1"/>
  <c r="O80" i="1"/>
  <c r="N80" i="1"/>
  <c r="M80" i="1"/>
  <c r="J80" i="1"/>
  <c r="I80" i="1"/>
  <c r="H80" i="1"/>
  <c r="G80" i="1"/>
  <c r="F80" i="1"/>
  <c r="E80" i="1"/>
  <c r="U79" i="1"/>
  <c r="S79" i="1"/>
  <c r="R79" i="1"/>
  <c r="Q79" i="1"/>
  <c r="P79" i="1"/>
  <c r="O79" i="1"/>
  <c r="N79" i="1"/>
  <c r="M79" i="1"/>
  <c r="J79" i="1"/>
  <c r="I79" i="1"/>
  <c r="H79" i="1"/>
  <c r="G79" i="1"/>
  <c r="F79" i="1"/>
  <c r="E79" i="1"/>
  <c r="U78" i="1"/>
  <c r="S78" i="1"/>
  <c r="R78" i="1"/>
  <c r="Q78" i="1"/>
  <c r="P78" i="1"/>
  <c r="T78" i="1" s="1"/>
  <c r="W78" i="1" s="1"/>
  <c r="O78" i="1"/>
  <c r="N78" i="1"/>
  <c r="M78" i="1"/>
  <c r="J78" i="1"/>
  <c r="I78" i="1"/>
  <c r="H78" i="1"/>
  <c r="G78" i="1"/>
  <c r="F78" i="1"/>
  <c r="E78" i="1"/>
  <c r="U77" i="1"/>
  <c r="S77" i="1"/>
  <c r="R77" i="1"/>
  <c r="Q77" i="1"/>
  <c r="T77" i="1" s="1"/>
  <c r="W77" i="1" s="1"/>
  <c r="P77" i="1"/>
  <c r="O77" i="1"/>
  <c r="N77" i="1"/>
  <c r="M77" i="1"/>
  <c r="J77" i="1"/>
  <c r="I77" i="1"/>
  <c r="H77" i="1"/>
  <c r="G77" i="1"/>
  <c r="F77" i="1"/>
  <c r="E77" i="1"/>
  <c r="U76" i="1"/>
  <c r="S76" i="1"/>
  <c r="R76" i="1"/>
  <c r="Q76" i="1"/>
  <c r="P76" i="1"/>
  <c r="O76" i="1"/>
  <c r="N76" i="1"/>
  <c r="M76" i="1"/>
  <c r="T76" i="1" s="1"/>
  <c r="W76" i="1" s="1"/>
  <c r="J76" i="1"/>
  <c r="I76" i="1"/>
  <c r="H76" i="1"/>
  <c r="G76" i="1"/>
  <c r="F76" i="1"/>
  <c r="E76" i="1"/>
  <c r="U75" i="1"/>
  <c r="S75" i="1"/>
  <c r="R75" i="1"/>
  <c r="Q75" i="1"/>
  <c r="P75" i="1"/>
  <c r="T75" i="1" s="1"/>
  <c r="W75" i="1" s="1"/>
  <c r="O75" i="1"/>
  <c r="N75" i="1"/>
  <c r="M75" i="1"/>
  <c r="J75" i="1"/>
  <c r="I75" i="1"/>
  <c r="H75" i="1"/>
  <c r="G75" i="1"/>
  <c r="F75" i="1"/>
  <c r="E75" i="1"/>
  <c r="U74" i="1"/>
  <c r="S74" i="1"/>
  <c r="R74" i="1"/>
  <c r="Q74" i="1"/>
  <c r="P74" i="1"/>
  <c r="O74" i="1"/>
  <c r="T74" i="1" s="1"/>
  <c r="W74" i="1" s="1"/>
  <c r="N74" i="1"/>
  <c r="M74" i="1"/>
  <c r="J74" i="1"/>
  <c r="I74" i="1"/>
  <c r="H74" i="1"/>
  <c r="G74" i="1"/>
  <c r="F74" i="1"/>
  <c r="E74" i="1"/>
  <c r="U73" i="1"/>
  <c r="S73" i="1"/>
  <c r="T73" i="1" s="1"/>
  <c r="W73" i="1" s="1"/>
  <c r="R73" i="1"/>
  <c r="Q73" i="1"/>
  <c r="P73" i="1"/>
  <c r="O73" i="1"/>
  <c r="N73" i="1"/>
  <c r="M73" i="1"/>
  <c r="J73" i="1"/>
  <c r="I73" i="1"/>
  <c r="H73" i="1"/>
  <c r="G73" i="1"/>
  <c r="F73" i="1"/>
  <c r="E73" i="1"/>
  <c r="U72" i="1"/>
  <c r="S72" i="1"/>
  <c r="R72" i="1"/>
  <c r="T72" i="1" s="1"/>
  <c r="W72" i="1" s="1"/>
  <c r="Q72" i="1"/>
  <c r="P72" i="1"/>
  <c r="O72" i="1"/>
  <c r="N72" i="1"/>
  <c r="M72" i="1"/>
  <c r="J72" i="1"/>
  <c r="I72" i="1"/>
  <c r="H72" i="1"/>
  <c r="G72" i="1"/>
  <c r="F72" i="1"/>
  <c r="E72" i="1"/>
  <c r="U71" i="1"/>
  <c r="S71" i="1"/>
  <c r="R71" i="1"/>
  <c r="Q71" i="1"/>
  <c r="P71" i="1"/>
  <c r="O71" i="1"/>
  <c r="N71" i="1"/>
  <c r="M71" i="1"/>
  <c r="J71" i="1"/>
  <c r="I71" i="1"/>
  <c r="H71" i="1"/>
  <c r="G71" i="1"/>
  <c r="F71" i="1"/>
  <c r="E71" i="1"/>
  <c r="U70" i="1"/>
  <c r="S70" i="1"/>
  <c r="R70" i="1"/>
  <c r="Q70" i="1"/>
  <c r="P70" i="1"/>
  <c r="O70" i="1"/>
  <c r="N70" i="1"/>
  <c r="M70" i="1"/>
  <c r="J70" i="1"/>
  <c r="I70" i="1"/>
  <c r="H70" i="1"/>
  <c r="G70" i="1"/>
  <c r="F70" i="1"/>
  <c r="E70" i="1"/>
  <c r="W69" i="1"/>
  <c r="U69" i="1"/>
  <c r="S69" i="1"/>
  <c r="R69" i="1"/>
  <c r="Q69" i="1"/>
  <c r="P69" i="1"/>
  <c r="T69" i="1" s="1"/>
  <c r="O69" i="1"/>
  <c r="N69" i="1"/>
  <c r="M69" i="1"/>
  <c r="J69" i="1"/>
  <c r="I69" i="1"/>
  <c r="H69" i="1"/>
  <c r="G69" i="1"/>
  <c r="F69" i="1"/>
  <c r="E69" i="1"/>
  <c r="U68" i="1"/>
  <c r="S68" i="1"/>
  <c r="R68" i="1"/>
  <c r="Q68" i="1"/>
  <c r="P68" i="1"/>
  <c r="T68" i="1" s="1"/>
  <c r="W68" i="1" s="1"/>
  <c r="O68" i="1"/>
  <c r="N68" i="1"/>
  <c r="M68" i="1"/>
  <c r="J68" i="1"/>
  <c r="I68" i="1"/>
  <c r="H68" i="1"/>
  <c r="G68" i="1"/>
  <c r="F68" i="1"/>
  <c r="E68" i="1"/>
  <c r="U67" i="1"/>
  <c r="T67" i="1"/>
  <c r="W67" i="1" s="1"/>
  <c r="S67" i="1"/>
  <c r="R67" i="1"/>
  <c r="Q67" i="1"/>
  <c r="P67" i="1"/>
  <c r="O67" i="1"/>
  <c r="N67" i="1"/>
  <c r="M67" i="1"/>
  <c r="J67" i="1"/>
  <c r="I67" i="1"/>
  <c r="H67" i="1"/>
  <c r="G67" i="1"/>
  <c r="F67" i="1"/>
  <c r="E67" i="1"/>
  <c r="U66" i="1"/>
  <c r="S66" i="1"/>
  <c r="T66" i="1" s="1"/>
  <c r="W66" i="1" s="1"/>
  <c r="R66" i="1"/>
  <c r="Q66" i="1"/>
  <c r="P66" i="1"/>
  <c r="O66" i="1"/>
  <c r="N66" i="1"/>
  <c r="M66" i="1"/>
  <c r="J66" i="1"/>
  <c r="I66" i="1"/>
  <c r="H66" i="1"/>
  <c r="G66" i="1"/>
  <c r="F66" i="1"/>
  <c r="E66" i="1"/>
  <c r="U65" i="1"/>
  <c r="S65" i="1"/>
  <c r="R65" i="1"/>
  <c r="Q65" i="1"/>
  <c r="P65" i="1"/>
  <c r="O65" i="1"/>
  <c r="N65" i="1"/>
  <c r="M65" i="1"/>
  <c r="J65" i="1"/>
  <c r="I65" i="1"/>
  <c r="H65" i="1"/>
  <c r="G65" i="1"/>
  <c r="F65" i="1"/>
  <c r="E65" i="1"/>
  <c r="U64" i="1"/>
  <c r="S64" i="1"/>
  <c r="R64" i="1"/>
  <c r="Q64" i="1"/>
  <c r="P64" i="1"/>
  <c r="O64" i="1"/>
  <c r="N64" i="1"/>
  <c r="M64" i="1"/>
  <c r="J64" i="1"/>
  <c r="I64" i="1"/>
  <c r="H64" i="1"/>
  <c r="G64" i="1"/>
  <c r="F64" i="1"/>
  <c r="E64" i="1"/>
  <c r="U63" i="1"/>
  <c r="S63" i="1"/>
  <c r="R63" i="1"/>
  <c r="Q63" i="1"/>
  <c r="T63" i="1" s="1"/>
  <c r="W63" i="1" s="1"/>
  <c r="P63" i="1"/>
  <c r="O63" i="1"/>
  <c r="N63" i="1"/>
  <c r="M63" i="1"/>
  <c r="J63" i="1"/>
  <c r="I63" i="1"/>
  <c r="H63" i="1"/>
  <c r="G63" i="1"/>
  <c r="F63" i="1"/>
  <c r="E63" i="1"/>
  <c r="U62" i="1"/>
  <c r="S62" i="1"/>
  <c r="R62" i="1"/>
  <c r="Q62" i="1"/>
  <c r="P62" i="1"/>
  <c r="O62" i="1"/>
  <c r="N62" i="1"/>
  <c r="M62" i="1"/>
  <c r="T62" i="1" s="1"/>
  <c r="W62" i="1" s="1"/>
  <c r="J62" i="1"/>
  <c r="I62" i="1"/>
  <c r="H62" i="1"/>
  <c r="G62" i="1"/>
  <c r="F62" i="1"/>
  <c r="E62" i="1"/>
  <c r="U61" i="1"/>
  <c r="S61" i="1"/>
  <c r="R61" i="1"/>
  <c r="Q61" i="1"/>
  <c r="P61" i="1"/>
  <c r="T61" i="1" s="1"/>
  <c r="W61" i="1" s="1"/>
  <c r="O61" i="1"/>
  <c r="N61" i="1"/>
  <c r="M61" i="1"/>
  <c r="J61" i="1"/>
  <c r="I61" i="1"/>
  <c r="H61" i="1"/>
  <c r="G61" i="1"/>
  <c r="F61" i="1"/>
  <c r="E61" i="1"/>
  <c r="U60" i="1"/>
  <c r="S60" i="1"/>
  <c r="R60" i="1"/>
  <c r="Q60" i="1"/>
  <c r="P60" i="1"/>
  <c r="O60" i="1"/>
  <c r="T60" i="1" s="1"/>
  <c r="W60" i="1" s="1"/>
  <c r="N60" i="1"/>
  <c r="M60" i="1"/>
  <c r="J60" i="1"/>
  <c r="I60" i="1"/>
  <c r="H60" i="1"/>
  <c r="G60" i="1"/>
  <c r="F60" i="1"/>
  <c r="E60" i="1"/>
  <c r="U59" i="1"/>
  <c r="S59" i="1"/>
  <c r="T59" i="1" s="1"/>
  <c r="W59" i="1" s="1"/>
  <c r="R59" i="1"/>
  <c r="Q59" i="1"/>
  <c r="P59" i="1"/>
  <c r="O59" i="1"/>
  <c r="N59" i="1"/>
  <c r="M59" i="1"/>
  <c r="J59" i="1"/>
  <c r="I59" i="1"/>
  <c r="H59" i="1"/>
  <c r="G59" i="1"/>
  <c r="F59" i="1"/>
  <c r="E59" i="1"/>
  <c r="U58" i="1"/>
  <c r="S58" i="1"/>
  <c r="R58" i="1"/>
  <c r="T58" i="1" s="1"/>
  <c r="W58" i="1" s="1"/>
  <c r="Q58" i="1"/>
  <c r="P58" i="1"/>
  <c r="O58" i="1"/>
  <c r="N58" i="1"/>
  <c r="M58" i="1"/>
  <c r="J58" i="1"/>
  <c r="I58" i="1"/>
  <c r="H58" i="1"/>
  <c r="G58" i="1"/>
  <c r="F58" i="1"/>
  <c r="E58" i="1"/>
  <c r="U57" i="1"/>
  <c r="S57" i="1"/>
  <c r="R57" i="1"/>
  <c r="Q57" i="1"/>
  <c r="P57" i="1"/>
  <c r="O57" i="1"/>
  <c r="N57" i="1"/>
  <c r="M57" i="1"/>
  <c r="J57" i="1"/>
  <c r="I57" i="1"/>
  <c r="H57" i="1"/>
  <c r="G57" i="1"/>
  <c r="F57" i="1"/>
  <c r="E57" i="1"/>
  <c r="U56" i="1"/>
  <c r="S56" i="1"/>
  <c r="R56" i="1"/>
  <c r="Q56" i="1"/>
  <c r="P56" i="1"/>
  <c r="O56" i="1"/>
  <c r="N56" i="1"/>
  <c r="M56" i="1"/>
  <c r="J56" i="1"/>
  <c r="I56" i="1"/>
  <c r="H56" i="1"/>
  <c r="G56" i="1"/>
  <c r="F56" i="1"/>
  <c r="E56" i="1"/>
  <c r="W55" i="1"/>
  <c r="U55" i="1"/>
  <c r="S55" i="1"/>
  <c r="R55" i="1"/>
  <c r="Q55" i="1"/>
  <c r="P55" i="1"/>
  <c r="O55" i="1"/>
  <c r="N55" i="1"/>
  <c r="M55" i="1"/>
  <c r="T55" i="1" s="1"/>
  <c r="J55" i="1"/>
  <c r="I55" i="1"/>
  <c r="H55" i="1"/>
  <c r="G55" i="1"/>
  <c r="F55" i="1"/>
  <c r="E55" i="1"/>
  <c r="U54" i="1"/>
  <c r="S54" i="1"/>
  <c r="R54" i="1"/>
  <c r="Q54" i="1"/>
  <c r="P54" i="1"/>
  <c r="T54" i="1" s="1"/>
  <c r="W54" i="1" s="1"/>
  <c r="O54" i="1"/>
  <c r="N54" i="1"/>
  <c r="M54" i="1"/>
  <c r="J54" i="1"/>
  <c r="I54" i="1"/>
  <c r="H54" i="1"/>
  <c r="G54" i="1"/>
  <c r="F54" i="1"/>
  <c r="E54" i="1"/>
  <c r="U53" i="1"/>
  <c r="T53" i="1"/>
  <c r="W53" i="1" s="1"/>
  <c r="S53" i="1"/>
  <c r="R53" i="1"/>
  <c r="Q53" i="1"/>
  <c r="P53" i="1"/>
  <c r="O53" i="1"/>
  <c r="N53" i="1"/>
  <c r="M53" i="1"/>
  <c r="J53" i="1"/>
  <c r="I53" i="1"/>
  <c r="H53" i="1"/>
  <c r="G53" i="1"/>
  <c r="F53" i="1"/>
  <c r="E53" i="1"/>
  <c r="U52" i="1"/>
  <c r="S52" i="1"/>
  <c r="T52" i="1" s="1"/>
  <c r="W52" i="1" s="1"/>
  <c r="R52" i="1"/>
  <c r="Q52" i="1"/>
  <c r="P52" i="1"/>
  <c r="O52" i="1"/>
  <c r="N52" i="1"/>
  <c r="M52" i="1"/>
  <c r="J52" i="1"/>
  <c r="I52" i="1"/>
  <c r="H52" i="1"/>
  <c r="G52" i="1"/>
  <c r="F52" i="1"/>
  <c r="E52" i="1"/>
  <c r="U51" i="1"/>
  <c r="S51" i="1"/>
  <c r="R51" i="1"/>
  <c r="Q51" i="1"/>
  <c r="P51" i="1"/>
  <c r="O51" i="1"/>
  <c r="N51" i="1"/>
  <c r="M51" i="1"/>
  <c r="J51" i="1"/>
  <c r="I51" i="1"/>
  <c r="H51" i="1"/>
  <c r="G51" i="1"/>
  <c r="F51" i="1"/>
  <c r="E51" i="1"/>
  <c r="U50" i="1"/>
  <c r="S50" i="1"/>
  <c r="R50" i="1"/>
  <c r="Q50" i="1"/>
  <c r="P50" i="1"/>
  <c r="O50" i="1"/>
  <c r="N50" i="1"/>
  <c r="M50" i="1"/>
  <c r="J50" i="1"/>
  <c r="I50" i="1"/>
  <c r="H50" i="1"/>
  <c r="G50" i="1"/>
  <c r="F50" i="1"/>
  <c r="E50" i="1"/>
  <c r="U49" i="1"/>
  <c r="S49" i="1"/>
  <c r="R49" i="1"/>
  <c r="Q49" i="1"/>
  <c r="T49" i="1" s="1"/>
  <c r="W49" i="1" s="1"/>
  <c r="P49" i="1"/>
  <c r="O49" i="1"/>
  <c r="N49" i="1"/>
  <c r="M49" i="1"/>
  <c r="J49" i="1"/>
  <c r="I49" i="1"/>
  <c r="H49" i="1"/>
  <c r="G49" i="1"/>
  <c r="F49" i="1"/>
  <c r="E49" i="1"/>
  <c r="U48" i="1"/>
  <c r="S48" i="1"/>
  <c r="R48" i="1"/>
  <c r="Q48" i="1"/>
  <c r="P48" i="1"/>
  <c r="O48" i="1"/>
  <c r="N48" i="1"/>
  <c r="M48" i="1"/>
  <c r="T48" i="1" s="1"/>
  <c r="W48" i="1" s="1"/>
  <c r="J48" i="1"/>
  <c r="I48" i="1"/>
  <c r="H48" i="1"/>
  <c r="G48" i="1"/>
  <c r="F48" i="1"/>
  <c r="E48" i="1"/>
  <c r="U47" i="1"/>
  <c r="S47" i="1"/>
  <c r="R47" i="1"/>
  <c r="Q47" i="1"/>
  <c r="P47" i="1"/>
  <c r="T47" i="1" s="1"/>
  <c r="W47" i="1" s="1"/>
  <c r="O47" i="1"/>
  <c r="N47" i="1"/>
  <c r="M47" i="1"/>
  <c r="J47" i="1"/>
  <c r="I47" i="1"/>
  <c r="H47" i="1"/>
  <c r="G47" i="1"/>
  <c r="F47" i="1"/>
  <c r="E47" i="1"/>
  <c r="U46" i="1"/>
  <c r="S46" i="1"/>
  <c r="R46" i="1"/>
  <c r="Q46" i="1"/>
  <c r="P46" i="1"/>
  <c r="O46" i="1"/>
  <c r="T46" i="1" s="1"/>
  <c r="W46" i="1" s="1"/>
  <c r="N46" i="1"/>
  <c r="M46" i="1"/>
  <c r="J46" i="1"/>
  <c r="I46" i="1"/>
  <c r="H46" i="1"/>
  <c r="G46" i="1"/>
  <c r="F46" i="1"/>
  <c r="E46" i="1"/>
  <c r="U45" i="1"/>
  <c r="S45" i="1"/>
  <c r="T45" i="1" s="1"/>
  <c r="W45" i="1" s="1"/>
  <c r="R45" i="1"/>
  <c r="Q45" i="1"/>
  <c r="P45" i="1"/>
  <c r="O45" i="1"/>
  <c r="N45" i="1"/>
  <c r="M45" i="1"/>
  <c r="J45" i="1"/>
  <c r="I45" i="1"/>
  <c r="H45" i="1"/>
  <c r="G45" i="1"/>
  <c r="F45" i="1"/>
  <c r="E45" i="1"/>
  <c r="U44" i="1"/>
  <c r="S44" i="1"/>
  <c r="R44" i="1"/>
  <c r="T44" i="1" s="1"/>
  <c r="W44" i="1" s="1"/>
  <c r="Q44" i="1"/>
  <c r="P44" i="1"/>
  <c r="O44" i="1"/>
  <c r="N44" i="1"/>
  <c r="M44" i="1"/>
  <c r="J44" i="1"/>
  <c r="I44" i="1"/>
  <c r="H44" i="1"/>
  <c r="G44" i="1"/>
  <c r="F44" i="1"/>
  <c r="E44" i="1"/>
  <c r="U43" i="1"/>
  <c r="S43" i="1"/>
  <c r="R43" i="1"/>
  <c r="Q43" i="1"/>
  <c r="P43" i="1"/>
  <c r="O43" i="1"/>
  <c r="N43" i="1"/>
  <c r="M43" i="1"/>
  <c r="J43" i="1"/>
  <c r="I43" i="1"/>
  <c r="H43" i="1"/>
  <c r="G43" i="1"/>
  <c r="F43" i="1"/>
  <c r="E43" i="1"/>
  <c r="U42" i="1"/>
  <c r="S42" i="1"/>
  <c r="R42" i="1"/>
  <c r="Q42" i="1"/>
  <c r="P42" i="1"/>
  <c r="O42" i="1"/>
  <c r="N42" i="1"/>
  <c r="M42" i="1"/>
  <c r="J42" i="1"/>
  <c r="I42" i="1"/>
  <c r="H42" i="1"/>
  <c r="G42" i="1"/>
  <c r="F42" i="1"/>
  <c r="E42" i="1"/>
  <c r="W41" i="1"/>
  <c r="U41" i="1"/>
  <c r="S41" i="1"/>
  <c r="R41" i="1"/>
  <c r="Q41" i="1"/>
  <c r="P41" i="1"/>
  <c r="O41" i="1"/>
  <c r="N41" i="1"/>
  <c r="M41" i="1"/>
  <c r="T41" i="1" s="1"/>
  <c r="J41" i="1"/>
  <c r="I41" i="1"/>
  <c r="H41" i="1"/>
  <c r="G41" i="1"/>
  <c r="F41" i="1"/>
  <c r="E41" i="1"/>
  <c r="U40" i="1"/>
  <c r="S40" i="1"/>
  <c r="R40" i="1"/>
  <c r="Q40" i="1"/>
  <c r="P40" i="1"/>
  <c r="T40" i="1" s="1"/>
  <c r="W40" i="1" s="1"/>
  <c r="O40" i="1"/>
  <c r="N40" i="1"/>
  <c r="M40" i="1"/>
  <c r="J40" i="1"/>
  <c r="I40" i="1"/>
  <c r="H40" i="1"/>
  <c r="G40" i="1"/>
  <c r="F40" i="1"/>
  <c r="E40" i="1"/>
  <c r="U39" i="1"/>
  <c r="T39" i="1"/>
  <c r="W39" i="1" s="1"/>
  <c r="S39" i="1"/>
  <c r="R39" i="1"/>
  <c r="Q39" i="1"/>
  <c r="P39" i="1"/>
  <c r="O39" i="1"/>
  <c r="N39" i="1"/>
  <c r="M39" i="1"/>
  <c r="J39" i="1"/>
  <c r="I39" i="1"/>
  <c r="H39" i="1"/>
  <c r="G39" i="1"/>
  <c r="F39" i="1"/>
  <c r="E39" i="1"/>
  <c r="U38" i="1"/>
  <c r="S38" i="1"/>
  <c r="T38" i="1" s="1"/>
  <c r="W38" i="1" s="1"/>
  <c r="R38" i="1"/>
  <c r="Q38" i="1"/>
  <c r="P38" i="1"/>
  <c r="O38" i="1"/>
  <c r="N38" i="1"/>
  <c r="M38" i="1"/>
  <c r="J38" i="1"/>
  <c r="I38" i="1"/>
  <c r="H38" i="1"/>
  <c r="G38" i="1"/>
  <c r="F38" i="1"/>
  <c r="E38" i="1"/>
  <c r="U37" i="1"/>
  <c r="S37" i="1"/>
  <c r="R37" i="1"/>
  <c r="Q37" i="1"/>
  <c r="P37" i="1"/>
  <c r="O37" i="1"/>
  <c r="N37" i="1"/>
  <c r="M37" i="1"/>
  <c r="J37" i="1"/>
  <c r="I37" i="1"/>
  <c r="H37" i="1"/>
  <c r="G37" i="1"/>
  <c r="F37" i="1"/>
  <c r="E37" i="1"/>
  <c r="U36" i="1"/>
  <c r="S36" i="1"/>
  <c r="R36" i="1"/>
  <c r="Q36" i="1"/>
  <c r="P36" i="1"/>
  <c r="O36" i="1"/>
  <c r="N36" i="1"/>
  <c r="M36" i="1"/>
  <c r="J36" i="1"/>
  <c r="I36" i="1"/>
  <c r="H36" i="1"/>
  <c r="G36" i="1"/>
  <c r="F36" i="1"/>
  <c r="E36" i="1"/>
  <c r="U35" i="1"/>
  <c r="S35" i="1"/>
  <c r="R35" i="1"/>
  <c r="Q35" i="1"/>
  <c r="T35" i="1" s="1"/>
  <c r="W35" i="1" s="1"/>
  <c r="P35" i="1"/>
  <c r="O35" i="1"/>
  <c r="N35" i="1"/>
  <c r="M35" i="1"/>
  <c r="J35" i="1"/>
  <c r="I35" i="1"/>
  <c r="H35" i="1"/>
  <c r="G35" i="1"/>
  <c r="F35" i="1"/>
  <c r="E35" i="1"/>
  <c r="U34" i="1"/>
  <c r="S34" i="1"/>
  <c r="R34" i="1"/>
  <c r="Q34" i="1"/>
  <c r="P34" i="1"/>
  <c r="O34" i="1"/>
  <c r="N34" i="1"/>
  <c r="M34" i="1"/>
  <c r="T34" i="1" s="1"/>
  <c r="W34" i="1" s="1"/>
  <c r="J34" i="1"/>
  <c r="I34" i="1"/>
  <c r="H34" i="1"/>
  <c r="G34" i="1"/>
  <c r="F34" i="1"/>
  <c r="E34" i="1"/>
  <c r="U33" i="1"/>
  <c r="S33" i="1"/>
  <c r="R33" i="1"/>
  <c r="Q33" i="1"/>
  <c r="P33" i="1"/>
  <c r="T33" i="1" s="1"/>
  <c r="W33" i="1" s="1"/>
  <c r="O33" i="1"/>
  <c r="N33" i="1"/>
  <c r="M33" i="1"/>
  <c r="J33" i="1"/>
  <c r="I33" i="1"/>
  <c r="H33" i="1"/>
  <c r="G33" i="1"/>
  <c r="F33" i="1"/>
  <c r="E33" i="1"/>
  <c r="U32" i="1"/>
  <c r="S32" i="1"/>
  <c r="R32" i="1"/>
  <c r="Q32" i="1"/>
  <c r="P32" i="1"/>
  <c r="O32" i="1"/>
  <c r="T32" i="1" s="1"/>
  <c r="W32" i="1" s="1"/>
  <c r="N32" i="1"/>
  <c r="M32" i="1"/>
  <c r="J32" i="1"/>
  <c r="I32" i="1"/>
  <c r="H32" i="1"/>
  <c r="G32" i="1"/>
  <c r="F32" i="1"/>
  <c r="E32" i="1"/>
  <c r="U31" i="1"/>
  <c r="S31" i="1"/>
  <c r="T31" i="1" s="1"/>
  <c r="W31" i="1" s="1"/>
  <c r="R31" i="1"/>
  <c r="Q31" i="1"/>
  <c r="P31" i="1"/>
  <c r="O31" i="1"/>
  <c r="N31" i="1"/>
  <c r="M31" i="1"/>
  <c r="J31" i="1"/>
  <c r="I31" i="1"/>
  <c r="H31" i="1"/>
  <c r="G31" i="1"/>
  <c r="F31" i="1"/>
  <c r="E31" i="1"/>
  <c r="U30" i="1"/>
  <c r="S30" i="1"/>
  <c r="R30" i="1"/>
  <c r="Q30" i="1"/>
  <c r="P30" i="1"/>
  <c r="O30" i="1"/>
  <c r="N30" i="1"/>
  <c r="M30" i="1"/>
  <c r="J30" i="1"/>
  <c r="I30" i="1"/>
  <c r="H30" i="1"/>
  <c r="G30" i="1"/>
  <c r="F30" i="1"/>
  <c r="E30" i="1"/>
  <c r="U29" i="1"/>
  <c r="S29" i="1"/>
  <c r="R29" i="1"/>
  <c r="Q29" i="1"/>
  <c r="P29" i="1"/>
  <c r="O29" i="1"/>
  <c r="N29" i="1"/>
  <c r="M29" i="1"/>
  <c r="J29" i="1"/>
  <c r="I29" i="1"/>
  <c r="H29" i="1"/>
  <c r="G29" i="1"/>
  <c r="F29" i="1"/>
  <c r="E29" i="1"/>
  <c r="U28" i="1"/>
  <c r="S28" i="1"/>
  <c r="R28" i="1"/>
  <c r="Q28" i="1"/>
  <c r="P28" i="1"/>
  <c r="O28" i="1"/>
  <c r="N28" i="1"/>
  <c r="M28" i="1"/>
  <c r="J28" i="1"/>
  <c r="I28" i="1"/>
  <c r="H28" i="1"/>
  <c r="G28" i="1"/>
  <c r="F28" i="1"/>
  <c r="E28" i="1"/>
  <c r="W27" i="1"/>
  <c r="U27" i="1"/>
  <c r="S27" i="1"/>
  <c r="R27" i="1"/>
  <c r="Q27" i="1"/>
  <c r="P27" i="1"/>
  <c r="O27" i="1"/>
  <c r="N27" i="1"/>
  <c r="M27" i="1"/>
  <c r="T27" i="1" s="1"/>
  <c r="J27" i="1"/>
  <c r="I27" i="1"/>
  <c r="H27" i="1"/>
  <c r="G27" i="1"/>
  <c r="F27" i="1"/>
  <c r="E27" i="1"/>
  <c r="U26" i="1"/>
  <c r="S26" i="1"/>
  <c r="R26" i="1"/>
  <c r="Q26" i="1"/>
  <c r="P26" i="1"/>
  <c r="O26" i="1"/>
  <c r="N26" i="1"/>
  <c r="M26" i="1"/>
  <c r="J26" i="1"/>
  <c r="I26" i="1"/>
  <c r="H26" i="1"/>
  <c r="G26" i="1"/>
  <c r="F26" i="1"/>
  <c r="E26" i="1"/>
  <c r="U25" i="1"/>
  <c r="S25" i="1"/>
  <c r="R25" i="1"/>
  <c r="Q25" i="1"/>
  <c r="P25" i="1"/>
  <c r="T25" i="1" s="1"/>
  <c r="W25" i="1" s="1"/>
  <c r="O25" i="1"/>
  <c r="N25" i="1"/>
  <c r="M25" i="1"/>
  <c r="J25" i="1"/>
  <c r="I25" i="1"/>
  <c r="H25" i="1"/>
  <c r="G25" i="1"/>
  <c r="F25" i="1"/>
  <c r="E25" i="1"/>
  <c r="U24" i="1"/>
  <c r="S24" i="1"/>
  <c r="R24" i="1"/>
  <c r="T24" i="1" s="1"/>
  <c r="W24" i="1" s="1"/>
  <c r="Q24" i="1"/>
  <c r="P24" i="1"/>
  <c r="O24" i="1"/>
  <c r="N24" i="1"/>
  <c r="M24" i="1"/>
  <c r="J24" i="1"/>
  <c r="I24" i="1"/>
  <c r="H24" i="1"/>
  <c r="G24" i="1"/>
  <c r="F24" i="1"/>
  <c r="E24" i="1"/>
  <c r="U23" i="1"/>
  <c r="S23" i="1"/>
  <c r="R23" i="1"/>
  <c r="Q23" i="1"/>
  <c r="P23" i="1"/>
  <c r="O23" i="1"/>
  <c r="N23" i="1"/>
  <c r="M23" i="1"/>
  <c r="J23" i="1"/>
  <c r="I23" i="1"/>
  <c r="H23" i="1"/>
  <c r="G23" i="1"/>
  <c r="F23" i="1"/>
  <c r="E23" i="1"/>
  <c r="U22" i="1"/>
  <c r="S22" i="1"/>
  <c r="R22" i="1"/>
  <c r="Q22" i="1"/>
  <c r="P22" i="1"/>
  <c r="O22" i="1"/>
  <c r="N22" i="1"/>
  <c r="M22" i="1"/>
  <c r="J22" i="1"/>
  <c r="I22" i="1"/>
  <c r="H22" i="1"/>
  <c r="G22" i="1"/>
  <c r="F22" i="1"/>
  <c r="E22" i="1"/>
  <c r="U21" i="1"/>
  <c r="S21" i="1"/>
  <c r="R21" i="1"/>
  <c r="Q21" i="1"/>
  <c r="P21" i="1"/>
  <c r="T21" i="1" s="1"/>
  <c r="W21" i="1" s="1"/>
  <c r="O21" i="1"/>
  <c r="N21" i="1"/>
  <c r="M21" i="1"/>
  <c r="J21" i="1"/>
  <c r="I21" i="1"/>
  <c r="H21" i="1"/>
  <c r="G21" i="1"/>
  <c r="F21" i="1"/>
  <c r="E21" i="1"/>
  <c r="U20" i="1"/>
  <c r="T20" i="1"/>
  <c r="W20" i="1" s="1"/>
  <c r="S20" i="1"/>
  <c r="R20" i="1"/>
  <c r="Q20" i="1"/>
  <c r="P20" i="1"/>
  <c r="O20" i="1"/>
  <c r="N20" i="1"/>
  <c r="M20" i="1"/>
  <c r="J20" i="1"/>
  <c r="I20" i="1"/>
  <c r="H20" i="1"/>
  <c r="G20" i="1"/>
  <c r="F20" i="1"/>
  <c r="E20" i="1"/>
  <c r="U19" i="1"/>
  <c r="S19" i="1"/>
  <c r="R19" i="1"/>
  <c r="Q19" i="1"/>
  <c r="P19" i="1"/>
  <c r="O19" i="1"/>
  <c r="N19" i="1"/>
  <c r="M19" i="1"/>
  <c r="J19" i="1"/>
  <c r="I19" i="1"/>
  <c r="H19" i="1"/>
  <c r="G19" i="1"/>
  <c r="F19" i="1"/>
  <c r="E19" i="1"/>
  <c r="U18" i="1"/>
  <c r="S18" i="1"/>
  <c r="R18" i="1"/>
  <c r="Q18" i="1"/>
  <c r="P18" i="1"/>
  <c r="T18" i="1" s="1"/>
  <c r="W18" i="1" s="1"/>
  <c r="O18" i="1"/>
  <c r="N18" i="1"/>
  <c r="M18" i="1"/>
  <c r="J18" i="1"/>
  <c r="I18" i="1"/>
  <c r="H18" i="1"/>
  <c r="G18" i="1"/>
  <c r="F18" i="1"/>
  <c r="E18" i="1"/>
  <c r="U17" i="1"/>
  <c r="S17" i="1"/>
  <c r="R17" i="1"/>
  <c r="T17" i="1" s="1"/>
  <c r="W17" i="1" s="1"/>
  <c r="Q17" i="1"/>
  <c r="P17" i="1"/>
  <c r="O17" i="1"/>
  <c r="N17" i="1"/>
  <c r="M17" i="1"/>
  <c r="J17" i="1"/>
  <c r="I17" i="1"/>
  <c r="H17" i="1"/>
  <c r="G17" i="1"/>
  <c r="F17" i="1"/>
  <c r="E17" i="1"/>
  <c r="U16" i="1"/>
  <c r="S16" i="1"/>
  <c r="R16" i="1"/>
  <c r="Q16" i="1"/>
  <c r="P16" i="1"/>
  <c r="O16" i="1"/>
  <c r="N16" i="1"/>
  <c r="M16" i="1"/>
  <c r="J16" i="1"/>
  <c r="I16" i="1"/>
  <c r="H16" i="1"/>
  <c r="G16" i="1"/>
  <c r="F16" i="1"/>
  <c r="E16" i="1"/>
  <c r="U15" i="1"/>
  <c r="S15" i="1"/>
  <c r="R15" i="1"/>
  <c r="Q15" i="1"/>
  <c r="P15" i="1"/>
  <c r="O15" i="1"/>
  <c r="N15" i="1"/>
  <c r="M15" i="1"/>
  <c r="J15" i="1"/>
  <c r="I15" i="1"/>
  <c r="H15" i="1"/>
  <c r="G15" i="1"/>
  <c r="F15" i="1"/>
  <c r="E15" i="1"/>
  <c r="U14" i="1"/>
  <c r="S14" i="1"/>
  <c r="R14" i="1"/>
  <c r="Q14" i="1"/>
  <c r="T14" i="1" s="1"/>
  <c r="W14" i="1" s="1"/>
  <c r="P14" i="1"/>
  <c r="O14" i="1"/>
  <c r="N14" i="1"/>
  <c r="M14" i="1"/>
  <c r="J14" i="1"/>
  <c r="I14" i="1"/>
  <c r="H14" i="1"/>
  <c r="G14" i="1"/>
  <c r="F14" i="1"/>
  <c r="E14" i="1"/>
  <c r="U13" i="1"/>
  <c r="S13" i="1"/>
  <c r="R13" i="1"/>
  <c r="Q13" i="1"/>
  <c r="P13" i="1"/>
  <c r="O13" i="1"/>
  <c r="N13" i="1"/>
  <c r="M13" i="1"/>
  <c r="T13" i="1" s="1"/>
  <c r="W13" i="1" s="1"/>
  <c r="J13" i="1"/>
  <c r="I13" i="1"/>
  <c r="H13" i="1"/>
  <c r="G13" i="1"/>
  <c r="F13" i="1"/>
  <c r="E13" i="1"/>
  <c r="U12" i="1"/>
  <c r="S12" i="1"/>
  <c r="R12" i="1"/>
  <c r="Q12" i="1"/>
  <c r="P12" i="1"/>
  <c r="O12" i="1"/>
  <c r="N12" i="1"/>
  <c r="M12" i="1"/>
  <c r="J12" i="1"/>
  <c r="I12" i="1"/>
  <c r="H12" i="1"/>
  <c r="G12" i="1"/>
  <c r="F12" i="1"/>
  <c r="E12" i="1"/>
  <c r="U11" i="1"/>
  <c r="S11" i="1"/>
  <c r="R11" i="1"/>
  <c r="Q11" i="1"/>
  <c r="P11" i="1"/>
  <c r="T11" i="1" s="1"/>
  <c r="W11" i="1" s="1"/>
  <c r="O11" i="1"/>
  <c r="N11" i="1"/>
  <c r="M11" i="1"/>
  <c r="J11" i="1"/>
  <c r="I11" i="1"/>
  <c r="H11" i="1"/>
  <c r="G11" i="1"/>
  <c r="F11" i="1"/>
  <c r="E11" i="1"/>
  <c r="U10" i="1"/>
  <c r="S10" i="1"/>
  <c r="R10" i="1"/>
  <c r="T10" i="1" s="1"/>
  <c r="W10" i="1" s="1"/>
  <c r="Q10" i="1"/>
  <c r="P10" i="1"/>
  <c r="O10" i="1"/>
  <c r="N10" i="1"/>
  <c r="M10" i="1"/>
  <c r="J10" i="1"/>
  <c r="I10" i="1"/>
  <c r="H10" i="1"/>
  <c r="G10" i="1"/>
  <c r="F10" i="1"/>
  <c r="E10" i="1"/>
  <c r="U9" i="1"/>
  <c r="S9" i="1"/>
  <c r="R9" i="1"/>
  <c r="Q9" i="1"/>
  <c r="P9" i="1"/>
  <c r="O9" i="1"/>
  <c r="N9" i="1"/>
  <c r="M9" i="1"/>
  <c r="J9" i="1"/>
  <c r="I9" i="1"/>
  <c r="H9" i="1"/>
  <c r="G9" i="1"/>
  <c r="F9" i="1"/>
  <c r="E9" i="1"/>
  <c r="U8" i="1"/>
  <c r="S8" i="1"/>
  <c r="R8" i="1"/>
  <c r="Q8" i="1"/>
  <c r="P8" i="1"/>
  <c r="O8" i="1"/>
  <c r="N8" i="1"/>
  <c r="M8" i="1"/>
  <c r="J8" i="1"/>
  <c r="I8" i="1"/>
  <c r="H8" i="1"/>
  <c r="G8" i="1"/>
  <c r="F8" i="1"/>
  <c r="E8" i="1"/>
  <c r="U7" i="1"/>
  <c r="S7" i="1"/>
  <c r="R7" i="1"/>
  <c r="Q7" i="1"/>
  <c r="P7" i="1"/>
  <c r="O7" i="1"/>
  <c r="N7" i="1"/>
  <c r="M7" i="1"/>
  <c r="J7" i="1"/>
  <c r="I7" i="1"/>
  <c r="H7" i="1"/>
  <c r="G7" i="1"/>
  <c r="F7" i="1"/>
  <c r="E7" i="1"/>
  <c r="U6" i="1"/>
  <c r="S6" i="1"/>
  <c r="R6" i="1"/>
  <c r="Q6" i="1"/>
  <c r="P6" i="1"/>
  <c r="O6" i="1"/>
  <c r="N6" i="1"/>
  <c r="M6" i="1"/>
  <c r="J6" i="1"/>
  <c r="I6" i="1"/>
  <c r="H6" i="1"/>
  <c r="G6" i="1"/>
  <c r="F6" i="1"/>
  <c r="E6" i="1"/>
  <c r="U5" i="1"/>
  <c r="S5" i="1"/>
  <c r="R5" i="1"/>
  <c r="Q5" i="1"/>
  <c r="P5" i="1"/>
  <c r="O5" i="1"/>
  <c r="N5" i="1"/>
  <c r="M5" i="1"/>
  <c r="J5" i="1"/>
  <c r="I5" i="1"/>
  <c r="H5" i="1"/>
  <c r="G5" i="1"/>
  <c r="F5" i="1"/>
  <c r="E5" i="1"/>
  <c r="U4" i="1"/>
  <c r="S4" i="1"/>
  <c r="R4" i="1"/>
  <c r="Q4" i="1"/>
  <c r="P4" i="1"/>
  <c r="O4" i="1"/>
  <c r="N4" i="1"/>
  <c r="M4" i="1"/>
  <c r="J4" i="1"/>
  <c r="I4" i="1"/>
  <c r="H4" i="1"/>
  <c r="G4" i="1"/>
  <c r="F4" i="1"/>
  <c r="E4" i="1"/>
  <c r="U3" i="1"/>
  <c r="S3" i="1"/>
  <c r="R3" i="1"/>
  <c r="Q3" i="1"/>
  <c r="P3" i="1"/>
  <c r="O3" i="1"/>
  <c r="N3" i="1"/>
  <c r="M3" i="1"/>
  <c r="J3" i="1"/>
  <c r="I3" i="1"/>
  <c r="H3" i="1"/>
  <c r="G3" i="1"/>
  <c r="F3" i="1"/>
  <c r="D19" i="2" s="1"/>
  <c r="J19" i="2" s="1"/>
  <c r="K19" i="2" s="1"/>
  <c r="T6" i="1" l="1"/>
  <c r="W6" i="1" s="1"/>
  <c r="T7" i="1"/>
  <c r="W7" i="1" s="1"/>
  <c r="T4" i="1"/>
  <c r="W4" i="1" s="1"/>
  <c r="G7" i="2"/>
  <c r="D13" i="2"/>
  <c r="J13" i="2" s="1"/>
  <c r="K13" i="2" s="1"/>
  <c r="I23" i="2"/>
  <c r="H5" i="2"/>
  <c r="F6" i="2"/>
  <c r="F7" i="2"/>
  <c r="C9" i="4"/>
  <c r="D10" i="2"/>
  <c r="J10" i="2" s="1"/>
  <c r="K10" i="2" s="1"/>
  <c r="C16" i="4"/>
  <c r="T15" i="1"/>
  <c r="W15" i="1" s="1"/>
  <c r="T16" i="1"/>
  <c r="W16" i="1" s="1"/>
  <c r="T22" i="1"/>
  <c r="W22" i="1" s="1"/>
  <c r="T23" i="1"/>
  <c r="W23" i="1" s="1"/>
  <c r="E10" i="2"/>
  <c r="C15" i="4"/>
  <c r="C23" i="4"/>
  <c r="T9" i="1"/>
  <c r="W9" i="1" s="1"/>
  <c r="C30" i="4"/>
  <c r="C33" i="4"/>
  <c r="C31" i="4"/>
  <c r="C32" i="4"/>
  <c r="H13" i="2"/>
  <c r="C22" i="4"/>
  <c r="T5" i="1"/>
  <c r="W5" i="1" s="1"/>
  <c r="G16" i="2"/>
  <c r="C28" i="4"/>
  <c r="C37" i="4"/>
  <c r="C35" i="4"/>
  <c r="C38" i="4"/>
  <c r="C36" i="4"/>
  <c r="C34" i="4"/>
  <c r="T36" i="1"/>
  <c r="W36" i="1" s="1"/>
  <c r="T50" i="1"/>
  <c r="W50" i="1" s="1"/>
  <c r="T64" i="1"/>
  <c r="W64" i="1" s="1"/>
  <c r="F16" i="2"/>
  <c r="F21" i="2"/>
  <c r="E21" i="2"/>
  <c r="B9" i="3"/>
  <c r="D21" i="2"/>
  <c r="H22" i="2"/>
  <c r="G22" i="2"/>
  <c r="F22" i="2"/>
  <c r="E22" i="2"/>
  <c r="D22" i="2"/>
  <c r="J22" i="2" s="1"/>
  <c r="K22" i="2" s="1"/>
  <c r="H21" i="2"/>
  <c r="G21" i="2"/>
  <c r="T26" i="1"/>
  <c r="W26" i="1" s="1"/>
  <c r="D9" i="2"/>
  <c r="H12" i="2"/>
  <c r="E12" i="2"/>
  <c r="G10" i="2"/>
  <c r="T3" i="1"/>
  <c r="W3" i="1" s="1"/>
  <c r="B8" i="3"/>
  <c r="T12" i="1"/>
  <c r="W12" i="1" s="1"/>
  <c r="T51" i="1"/>
  <c r="W51" i="1" s="1"/>
  <c r="T65" i="1"/>
  <c r="W65" i="1" s="1"/>
  <c r="T79" i="1"/>
  <c r="W79" i="1" s="1"/>
  <c r="T93" i="1"/>
  <c r="W93" i="1" s="1"/>
  <c r="H19" i="2"/>
  <c r="G19" i="2"/>
  <c r="F19" i="2"/>
  <c r="T19" i="1"/>
  <c r="W19" i="1" s="1"/>
  <c r="H18" i="2"/>
  <c r="E19" i="2"/>
  <c r="C29" i="4"/>
  <c r="T8" i="1"/>
  <c r="W8" i="1" s="1"/>
  <c r="T37" i="1"/>
  <c r="W37" i="1" s="1"/>
  <c r="E6" i="2"/>
  <c r="C8" i="4"/>
  <c r="B12" i="3"/>
  <c r="T28" i="1"/>
  <c r="W28" i="1" s="1"/>
  <c r="T29" i="1"/>
  <c r="W29" i="1" s="1"/>
  <c r="T30" i="1"/>
  <c r="W30" i="1" s="1"/>
  <c r="T42" i="1"/>
  <c r="W42" i="1" s="1"/>
  <c r="T43" i="1"/>
  <c r="W43" i="1" s="1"/>
  <c r="T56" i="1"/>
  <c r="W56" i="1" s="1"/>
  <c r="T57" i="1"/>
  <c r="W57" i="1" s="1"/>
  <c r="T70" i="1"/>
  <c r="W70" i="1" s="1"/>
  <c r="T71" i="1"/>
  <c r="W71" i="1" s="1"/>
  <c r="T84" i="1"/>
  <c r="W84" i="1" s="1"/>
  <c r="T85" i="1"/>
  <c r="W85" i="1" s="1"/>
  <c r="T98" i="1"/>
  <c r="W98" i="1" s="1"/>
  <c r="T99" i="1"/>
  <c r="W99" i="1" s="1"/>
  <c r="E5" i="2"/>
  <c r="G11" i="2"/>
  <c r="E13" i="2"/>
  <c r="C4" i="4"/>
  <c r="C11" i="4"/>
  <c r="C18" i="4"/>
  <c r="C25" i="4"/>
  <c r="F5" i="2"/>
  <c r="D7" i="2"/>
  <c r="H11" i="2"/>
  <c r="F13" i="2"/>
  <c r="D16" i="2"/>
  <c r="J16" i="2" s="1"/>
  <c r="K16" i="2" s="1"/>
  <c r="G5" i="2"/>
  <c r="E7" i="2"/>
  <c r="G13" i="2"/>
  <c r="E16" i="2"/>
  <c r="C6" i="4"/>
  <c r="C13" i="4"/>
  <c r="C20" i="4"/>
  <c r="C27" i="4"/>
  <c r="H7" i="2"/>
  <c r="F10" i="2"/>
  <c r="D12" i="2"/>
  <c r="J12" i="2" s="1"/>
  <c r="K12" i="2" s="1"/>
  <c r="H16" i="2"/>
  <c r="C10" i="4"/>
  <c r="C17" i="4"/>
  <c r="C24" i="4"/>
  <c r="D6" i="2"/>
  <c r="H10" i="2"/>
  <c r="F12" i="2"/>
  <c r="D15" i="2"/>
  <c r="G12" i="2"/>
  <c r="E15" i="2"/>
  <c r="C5" i="4"/>
  <c r="C12" i="4"/>
  <c r="C19" i="4"/>
  <c r="C26" i="4"/>
  <c r="F15" i="2"/>
  <c r="D18" i="2"/>
  <c r="J18" i="2" s="1"/>
  <c r="K18" i="2" s="1"/>
  <c r="G6" i="2"/>
  <c r="E9" i="2"/>
  <c r="G15" i="2"/>
  <c r="E18" i="2"/>
  <c r="C7" i="4"/>
  <c r="C14" i="4"/>
  <c r="C21" i="4"/>
  <c r="H6" i="2"/>
  <c r="F9" i="2"/>
  <c r="D11" i="2"/>
  <c r="J11" i="2" s="1"/>
  <c r="K11" i="2" s="1"/>
  <c r="H15" i="2"/>
  <c r="F18" i="2"/>
  <c r="G9" i="2"/>
  <c r="E11" i="2"/>
  <c r="G18" i="2"/>
  <c r="B10" i="3"/>
  <c r="D5" i="2"/>
  <c r="H9" i="2"/>
  <c r="F11" i="2"/>
  <c r="I13" i="2" l="1"/>
  <c r="I16" i="2"/>
  <c r="I18" i="2"/>
  <c r="G12" i="4"/>
  <c r="F12" i="4"/>
  <c r="E12" i="4"/>
  <c r="D12" i="4"/>
  <c r="F25" i="4"/>
  <c r="E25" i="4"/>
  <c r="D25" i="4"/>
  <c r="G25" i="4"/>
  <c r="G31" i="4"/>
  <c r="F31" i="4"/>
  <c r="E31" i="4"/>
  <c r="D31" i="4"/>
  <c r="G33" i="4"/>
  <c r="F33" i="4"/>
  <c r="E33" i="4"/>
  <c r="D33" i="4"/>
  <c r="I15" i="2"/>
  <c r="J15" i="2" s="1"/>
  <c r="K15" i="2" s="1"/>
  <c r="G20" i="4"/>
  <c r="F20" i="4"/>
  <c r="D20" i="4"/>
  <c r="E20" i="4"/>
  <c r="F11" i="4"/>
  <c r="E11" i="4"/>
  <c r="D11" i="4"/>
  <c r="G11" i="4"/>
  <c r="D30" i="4"/>
  <c r="G30" i="4"/>
  <c r="F30" i="4"/>
  <c r="E30" i="4"/>
  <c r="G34" i="4"/>
  <c r="F34" i="4"/>
  <c r="D34" i="4"/>
  <c r="E34" i="4"/>
  <c r="G36" i="4"/>
  <c r="F36" i="4"/>
  <c r="E36" i="4"/>
  <c r="D36" i="4"/>
  <c r="D23" i="4"/>
  <c r="G23" i="4"/>
  <c r="F23" i="4"/>
  <c r="E23" i="4"/>
  <c r="F4" i="4"/>
  <c r="E4" i="4"/>
  <c r="D4" i="4"/>
  <c r="G4" i="4"/>
  <c r="I22" i="2"/>
  <c r="G38" i="4"/>
  <c r="F38" i="4"/>
  <c r="E38" i="4"/>
  <c r="D38" i="4"/>
  <c r="G15" i="4"/>
  <c r="F15" i="4"/>
  <c r="E15" i="4"/>
  <c r="D15" i="4"/>
  <c r="F21" i="4"/>
  <c r="E21" i="4"/>
  <c r="D21" i="4"/>
  <c r="G21" i="4"/>
  <c r="I5" i="2"/>
  <c r="J5" i="2" s="1"/>
  <c r="F35" i="4"/>
  <c r="E35" i="4"/>
  <c r="D35" i="4"/>
  <c r="G35" i="4"/>
  <c r="I10" i="2"/>
  <c r="G13" i="4"/>
  <c r="F13" i="4"/>
  <c r="D13" i="4"/>
  <c r="E13" i="4"/>
  <c r="I7" i="2"/>
  <c r="J7" i="2" s="1"/>
  <c r="K7" i="2" s="1"/>
  <c r="G8" i="4"/>
  <c r="F8" i="4"/>
  <c r="E8" i="4"/>
  <c r="D8" i="4"/>
  <c r="D37" i="4"/>
  <c r="G37" i="4"/>
  <c r="F37" i="4"/>
  <c r="E37" i="4"/>
  <c r="G6" i="4"/>
  <c r="F6" i="4"/>
  <c r="D6" i="4"/>
  <c r="E6" i="4"/>
  <c r="I6" i="2"/>
  <c r="J6" i="2" s="1"/>
  <c r="K6" i="2" s="1"/>
  <c r="F28" i="4"/>
  <c r="E28" i="4"/>
  <c r="D28" i="4"/>
  <c r="G28" i="4"/>
  <c r="G17" i="4"/>
  <c r="F17" i="4"/>
  <c r="E17" i="4"/>
  <c r="D17" i="4"/>
  <c r="I9" i="2"/>
  <c r="J9" i="2" s="1"/>
  <c r="K9" i="2" s="1"/>
  <c r="G24" i="4"/>
  <c r="F24" i="4"/>
  <c r="E24" i="4"/>
  <c r="D24" i="4"/>
  <c r="I11" i="2"/>
  <c r="G10" i="4"/>
  <c r="F10" i="4"/>
  <c r="E10" i="4"/>
  <c r="D10" i="4"/>
  <c r="G5" i="4"/>
  <c r="F5" i="4"/>
  <c r="E5" i="4"/>
  <c r="D5" i="4"/>
  <c r="G27" i="4"/>
  <c r="F27" i="4"/>
  <c r="D27" i="4"/>
  <c r="E27" i="4"/>
  <c r="F14" i="4"/>
  <c r="E14" i="4"/>
  <c r="D14" i="4"/>
  <c r="G14" i="4"/>
  <c r="F7" i="4"/>
  <c r="E7" i="4"/>
  <c r="D7" i="4"/>
  <c r="G7" i="4"/>
  <c r="G29" i="4"/>
  <c r="F29" i="4"/>
  <c r="E29" i="4"/>
  <c r="D29" i="4"/>
  <c r="I21" i="2"/>
  <c r="J21" i="2" s="1"/>
  <c r="K21" i="2" s="1"/>
  <c r="G22" i="4"/>
  <c r="F22" i="4"/>
  <c r="E22" i="4"/>
  <c r="D22" i="4"/>
  <c r="D16" i="4"/>
  <c r="G16" i="4"/>
  <c r="F16" i="4"/>
  <c r="E16" i="4"/>
  <c r="G26" i="4"/>
  <c r="F26" i="4"/>
  <c r="E26" i="4"/>
  <c r="D26" i="4"/>
  <c r="I19" i="2"/>
  <c r="I12" i="2"/>
  <c r="F18" i="4"/>
  <c r="E18" i="4"/>
  <c r="D18" i="4"/>
  <c r="G18" i="4"/>
  <c r="G19" i="4"/>
  <c r="F19" i="4"/>
  <c r="E19" i="4"/>
  <c r="D19" i="4"/>
  <c r="F32" i="4"/>
  <c r="E32" i="4"/>
  <c r="D32" i="4"/>
  <c r="G32" i="4"/>
  <c r="D9" i="4"/>
  <c r="G9" i="4"/>
  <c r="F9" i="4"/>
  <c r="E9" i="4"/>
  <c r="E21" i="3" l="1"/>
  <c r="F20" i="3"/>
  <c r="B17" i="3"/>
  <c r="F18" i="3"/>
  <c r="B18" i="3"/>
  <c r="D22" i="3"/>
  <c r="C24" i="3"/>
  <c r="K5" i="2"/>
  <c r="E19" i="3"/>
  <c r="D21" i="3"/>
  <c r="D23" i="3"/>
  <c r="B13" i="3"/>
  <c r="E20" i="3"/>
  <c r="C22" i="3"/>
  <c r="F17" i="3"/>
  <c r="D19" i="3"/>
  <c r="C21" i="3"/>
  <c r="C23" i="3"/>
  <c r="B23" i="3"/>
  <c r="D20" i="3"/>
  <c r="C20" i="3"/>
  <c r="B5" i="3"/>
  <c r="E17" i="3"/>
  <c r="D17" i="3"/>
  <c r="E24" i="3"/>
  <c r="B20" i="3"/>
  <c r="E18" i="3"/>
  <c r="B24" i="3"/>
  <c r="D18" i="3"/>
  <c r="E23" i="3"/>
  <c r="F24" i="3"/>
  <c r="F21" i="3"/>
  <c r="C17" i="3"/>
  <c r="B4" i="3"/>
  <c r="X85" i="1" s="1"/>
  <c r="Y85" i="1" s="1"/>
  <c r="B22" i="3"/>
  <c r="C19" i="3"/>
  <c r="F23" i="3"/>
  <c r="F22" i="3"/>
  <c r="C18" i="3"/>
  <c r="E22" i="3"/>
  <c r="B21" i="3"/>
  <c r="B19" i="3"/>
  <c r="F19" i="3"/>
  <c r="D24" i="3"/>
  <c r="I21" i="4"/>
  <c r="J21" i="4" s="1"/>
  <c r="H21" i="4"/>
  <c r="I4" i="4"/>
  <c r="J4" i="4" s="1"/>
  <c r="H4" i="4"/>
  <c r="I32" i="4"/>
  <c r="J32" i="4" s="1"/>
  <c r="H32" i="4"/>
  <c r="I22" i="4"/>
  <c r="J22" i="4" s="1"/>
  <c r="H22" i="4"/>
  <c r="I10" i="4"/>
  <c r="J10" i="4" s="1"/>
  <c r="H10" i="4"/>
  <c r="I15" i="4"/>
  <c r="J15" i="4" s="1"/>
  <c r="H15" i="4"/>
  <c r="I20" i="4"/>
  <c r="J20" i="4" s="1"/>
  <c r="H20" i="4"/>
  <c r="I14" i="4"/>
  <c r="J14" i="4" s="1"/>
  <c r="H14" i="4"/>
  <c r="I17" i="4"/>
  <c r="J17" i="4" s="1"/>
  <c r="H17" i="4"/>
  <c r="I13" i="4"/>
  <c r="J13" i="4" s="1"/>
  <c r="H13" i="4"/>
  <c r="I25" i="4"/>
  <c r="J25" i="4" s="1"/>
  <c r="H25" i="4"/>
  <c r="I29" i="4"/>
  <c r="J29" i="4" s="1"/>
  <c r="H29" i="4"/>
  <c r="I37" i="4"/>
  <c r="J37" i="4" s="1"/>
  <c r="H37" i="4"/>
  <c r="I28" i="4"/>
  <c r="J28" i="4" s="1"/>
  <c r="H28" i="4"/>
  <c r="I8" i="4"/>
  <c r="J8" i="4" s="1"/>
  <c r="H8" i="4"/>
  <c r="I35" i="4"/>
  <c r="J35" i="4" s="1"/>
  <c r="H35" i="4"/>
  <c r="I38" i="4"/>
  <c r="J38" i="4" s="1"/>
  <c r="H38" i="4"/>
  <c r="H26" i="4"/>
  <c r="I26" i="4"/>
  <c r="J26" i="4" s="1"/>
  <c r="I27" i="4"/>
  <c r="J27" i="4" s="1"/>
  <c r="H27" i="4"/>
  <c r="I24" i="4"/>
  <c r="J24" i="4" s="1"/>
  <c r="H24" i="4"/>
  <c r="H23" i="4"/>
  <c r="I23" i="4"/>
  <c r="J23" i="4" s="1"/>
  <c r="H33" i="4"/>
  <c r="I33" i="4"/>
  <c r="J33" i="4" s="1"/>
  <c r="I36" i="4"/>
  <c r="J36" i="4" s="1"/>
  <c r="H36" i="4"/>
  <c r="H30" i="4"/>
  <c r="I30" i="4"/>
  <c r="J30" i="4" s="1"/>
  <c r="H12" i="4"/>
  <c r="I12" i="4"/>
  <c r="J12" i="4" s="1"/>
  <c r="H19" i="4"/>
  <c r="I19" i="4"/>
  <c r="J19" i="4" s="1"/>
  <c r="I34" i="4"/>
  <c r="J34" i="4" s="1"/>
  <c r="H34" i="4"/>
  <c r="H9" i="4"/>
  <c r="I9" i="4"/>
  <c r="J9" i="4" s="1"/>
  <c r="I18" i="4"/>
  <c r="J18" i="4" s="1"/>
  <c r="H18" i="4"/>
  <c r="I11" i="4"/>
  <c r="J11" i="4" s="1"/>
  <c r="H11" i="4"/>
  <c r="H16" i="4"/>
  <c r="I16" i="4"/>
  <c r="J16" i="4" s="1"/>
  <c r="I7" i="4"/>
  <c r="J7" i="4" s="1"/>
  <c r="H7" i="4"/>
  <c r="H5" i="4"/>
  <c r="I5" i="4"/>
  <c r="J5" i="4" s="1"/>
  <c r="I6" i="4"/>
  <c r="J6" i="4" s="1"/>
  <c r="H6" i="4"/>
  <c r="I31" i="4"/>
  <c r="J31" i="4" s="1"/>
  <c r="H31" i="4"/>
  <c r="X58" i="1" l="1"/>
  <c r="Y58" i="1" s="1"/>
  <c r="X53" i="1"/>
  <c r="Y53" i="1" s="1"/>
  <c r="X27" i="1"/>
  <c r="Y27" i="1" s="1"/>
  <c r="X40" i="1"/>
  <c r="Y40" i="1" s="1"/>
  <c r="X69" i="1"/>
  <c r="Y69" i="1" s="1"/>
  <c r="X66" i="1"/>
  <c r="Y66" i="1" s="1"/>
  <c r="X35" i="1"/>
  <c r="Y35" i="1" s="1"/>
  <c r="X92" i="1"/>
  <c r="Y92" i="1" s="1"/>
  <c r="X13" i="1"/>
  <c r="Y13" i="1" s="1"/>
  <c r="X14" i="1"/>
  <c r="Y14" i="1" s="1"/>
  <c r="X47" i="1"/>
  <c r="Y47" i="1" s="1"/>
  <c r="X76" i="1"/>
  <c r="Y76" i="1" s="1"/>
  <c r="X73" i="1"/>
  <c r="Y73" i="1" s="1"/>
  <c r="X60" i="1"/>
  <c r="Y60" i="1" s="1"/>
  <c r="X37" i="1"/>
  <c r="Y37" i="1" s="1"/>
  <c r="X54" i="1"/>
  <c r="Y54" i="1" s="1"/>
  <c r="X80" i="1"/>
  <c r="Y80" i="1" s="1"/>
  <c r="X8" i="1"/>
  <c r="Y8" i="1" s="1"/>
  <c r="X51" i="1"/>
  <c r="Y51" i="1" s="1"/>
  <c r="X61" i="1"/>
  <c r="Y61" i="1" s="1"/>
  <c r="X90" i="1"/>
  <c r="Y90" i="1" s="1"/>
  <c r="X15" i="1"/>
  <c r="Y15" i="1" s="1"/>
  <c r="X86" i="1"/>
  <c r="Y86" i="1" s="1"/>
  <c r="X99" i="1"/>
  <c r="Y99" i="1" s="1"/>
  <c r="X20" i="1"/>
  <c r="Y20" i="1" s="1"/>
  <c r="X67" i="1"/>
  <c r="Y67" i="1" s="1"/>
  <c r="X87" i="1"/>
  <c r="Y87" i="1" s="1"/>
  <c r="X97" i="1"/>
  <c r="Y97" i="1" s="1"/>
  <c r="X100" i="1"/>
  <c r="Y100" i="1" s="1"/>
  <c r="X88" i="1"/>
  <c r="Y88" i="1" s="1"/>
  <c r="X70" i="1"/>
  <c r="Y70" i="1" s="1"/>
  <c r="X83" i="1"/>
  <c r="Y83" i="1" s="1"/>
  <c r="X6" i="1"/>
  <c r="Y6" i="1" s="1"/>
  <c r="X63" i="1"/>
  <c r="Y63" i="1" s="1"/>
  <c r="X89" i="1"/>
  <c r="Y89" i="1" s="1"/>
  <c r="X17" i="1"/>
  <c r="Y17" i="1" s="1"/>
  <c r="X4" i="1"/>
  <c r="Y4" i="1" s="1"/>
  <c r="X102" i="1"/>
  <c r="Y102" i="1" s="1"/>
  <c r="X43" i="1"/>
  <c r="Y43" i="1" s="1"/>
  <c r="X49" i="1"/>
  <c r="Y49" i="1" s="1"/>
  <c r="X82" i="1"/>
  <c r="Y82" i="1" s="1"/>
  <c r="X56" i="1"/>
  <c r="Y56" i="1" s="1"/>
  <c r="X95" i="1"/>
  <c r="Y95" i="1" s="1"/>
  <c r="X36" i="1"/>
  <c r="Y36" i="1" s="1"/>
  <c r="X93" i="1"/>
  <c r="Y93" i="1" s="1"/>
  <c r="X3" i="1"/>
  <c r="Y3" i="1" s="1"/>
  <c r="X29" i="1"/>
  <c r="Y29" i="1" s="1"/>
  <c r="X7" i="1"/>
  <c r="Y7" i="1" s="1"/>
  <c r="X16" i="1"/>
  <c r="Y16" i="1" s="1"/>
  <c r="X12" i="1"/>
  <c r="Y12" i="1" s="1"/>
  <c r="X41" i="1"/>
  <c r="Y41" i="1" s="1"/>
  <c r="X38" i="1"/>
  <c r="Y38" i="1" s="1"/>
  <c r="X25" i="1"/>
  <c r="Y25" i="1" s="1"/>
  <c r="X77" i="1"/>
  <c r="Y77" i="1" s="1"/>
  <c r="X64" i="1"/>
  <c r="Y64" i="1" s="1"/>
  <c r="X72" i="1"/>
  <c r="Y72" i="1" s="1"/>
  <c r="X74" i="1"/>
  <c r="Y74" i="1" s="1"/>
  <c r="X65" i="1"/>
  <c r="Y65" i="1" s="1"/>
  <c r="X68" i="1"/>
  <c r="Y68" i="1" s="1"/>
  <c r="X94" i="1"/>
  <c r="Y94" i="1" s="1"/>
  <c r="X81" i="1"/>
  <c r="Y81" i="1" s="1"/>
  <c r="X22" i="1"/>
  <c r="Y22" i="1" s="1"/>
  <c r="X75" i="1"/>
  <c r="Y75" i="1" s="1"/>
  <c r="X101" i="1"/>
  <c r="Y101" i="1" s="1"/>
  <c r="X10" i="1"/>
  <c r="Y10" i="1" s="1"/>
  <c r="X28" i="1"/>
  <c r="Y28" i="1" s="1"/>
  <c r="X9" i="1"/>
  <c r="Y9" i="1" s="1"/>
  <c r="X34" i="1"/>
  <c r="Y34" i="1" s="1"/>
  <c r="X42" i="1"/>
  <c r="Y42" i="1" s="1"/>
  <c r="X23" i="1"/>
  <c r="Y23" i="1" s="1"/>
  <c r="X19" i="1"/>
  <c r="Y19" i="1" s="1"/>
  <c r="X48" i="1"/>
  <c r="Y48" i="1" s="1"/>
  <c r="X45" i="1"/>
  <c r="Y45" i="1" s="1"/>
  <c r="X32" i="1"/>
  <c r="Y32" i="1" s="1"/>
  <c r="X84" i="1"/>
  <c r="Y84" i="1" s="1"/>
  <c r="X71" i="1"/>
  <c r="Y71" i="1" s="1"/>
  <c r="X5" i="1"/>
  <c r="Y5" i="1" s="1"/>
  <c r="X31" i="1"/>
  <c r="Y31" i="1" s="1"/>
  <c r="X18" i="1"/>
  <c r="Y18" i="1" s="1"/>
  <c r="X57" i="1"/>
  <c r="Y57" i="1" s="1"/>
  <c r="X79" i="1"/>
  <c r="Y79" i="1" s="1"/>
  <c r="X26" i="1"/>
  <c r="Y26" i="1" s="1"/>
  <c r="X55" i="1"/>
  <c r="Y55" i="1" s="1"/>
  <c r="X52" i="1"/>
  <c r="Y52" i="1" s="1"/>
  <c r="X39" i="1"/>
  <c r="Y39" i="1" s="1"/>
  <c r="X98" i="1"/>
  <c r="Y98" i="1" s="1"/>
  <c r="X78" i="1"/>
  <c r="Y78" i="1" s="1"/>
  <c r="X44" i="1"/>
  <c r="Y44" i="1" s="1"/>
  <c r="X91" i="1"/>
  <c r="Y91" i="1" s="1"/>
  <c r="X96" i="1"/>
  <c r="Y96" i="1" s="1"/>
  <c r="X24" i="1"/>
  <c r="Y24" i="1" s="1"/>
  <c r="X11" i="1"/>
  <c r="Y11" i="1" s="1"/>
  <c r="X50" i="1"/>
  <c r="Y50" i="1" s="1"/>
  <c r="X30" i="1"/>
  <c r="Y30" i="1" s="1"/>
  <c r="X33" i="1"/>
  <c r="Y33" i="1" s="1"/>
  <c r="X62" i="1"/>
  <c r="Y62" i="1" s="1"/>
  <c r="X59" i="1"/>
  <c r="Y59" i="1" s="1"/>
  <c r="X46" i="1"/>
  <c r="Y46" i="1" s="1"/>
  <c r="X21" i="1"/>
  <c r="Y21" i="1" s="1"/>
</calcChain>
</file>

<file path=xl/sharedStrings.xml><?xml version="1.0" encoding="utf-8"?>
<sst xmlns="http://schemas.openxmlformats.org/spreadsheetml/2006/main" count="340" uniqueCount="287">
  <si>
    <t>⚾  SIGNAL-INTERCEPT  |  Live Data Collection Engine</t>
  </si>
  <si>
    <t>INNING</t>
  </si>
  <si>
    <t>OUTS</t>
  </si>
  <si>
    <t>COUNT</t>
  </si>
  <si>
    <t>SCORE</t>
  </si>
  <si>
    <t>R on 2nd?</t>
  </si>
  <si>
    <t>CHEST
WIPE</t>
  </si>
  <si>
    <t>TOUCH
MASK</t>
  </si>
  <si>
    <t>GLOVE
TAP</t>
  </si>
  <si>
    <t>SHIFT
SETUP</t>
  </si>
  <si>
    <t>SIGN
RESET?</t>
  </si>
  <si>
    <t>RAW SIGN STRING
(e.g. 2-4-1-3-1)</t>
  </si>
  <si>
    <t>PITCH
RESULT</t>
  </si>
  <si>
    <t>SIGN 1</t>
  </si>
  <si>
    <t>SIGN 2</t>
  </si>
  <si>
    <t>SIGN 3</t>
  </si>
  <si>
    <t>SIGN 4</t>
  </si>
  <si>
    <t>SIGN 5</t>
  </si>
  <si>
    <t>SIGN 6</t>
  </si>
  <si>
    <t>SIGN 7</t>
  </si>
  <si>
    <t>LAST
SIGN</t>
  </si>
  <si>
    <t>SEQ
LEN</t>
  </si>
  <si>
    <t>SHAKE
COUNT</t>
  </si>
  <si>
    <t>SHAKE-ADJ
SIGN</t>
  </si>
  <si>
    <t>THEORY
PREDICTED</t>
  </si>
  <si>
    <t>CORRECT?</t>
  </si>
  <si>
    <t>🔬  LOGIC CORE  |  Pattern Correlation Matrix</t>
  </si>
  <si>
    <t>Each theory is tested against actual pitch results. Confidence = (Correct Predictions / Observations with sufficient data). Min 5 obs required.</t>
  </si>
  <si>
    <t>THEORY</t>
  </si>
  <si>
    <t>CONDITION</t>
  </si>
  <si>
    <t>FILTER</t>
  </si>
  <si>
    <t>OBSERVATIONS</t>
  </si>
  <si>
    <t>CORRECT
Fastball</t>
  </si>
  <si>
    <t>CORRECT
Curveball</t>
  </si>
  <si>
    <t>CORRECT
Slider</t>
  </si>
  <si>
    <t>CORRECT
Changeup</t>
  </si>
  <si>
    <t>TOTAL
CORRECT</t>
  </si>
  <si>
    <t>CONFIDENCE
%</t>
  </si>
  <si>
    <t>HOT?</t>
  </si>
  <si>
    <t>NOTES</t>
  </si>
  <si>
    <t>📌  SECTION 1: Fixed Position Theories</t>
  </si>
  <si>
    <t>Fixed Position: Sign 1 = Pitch</t>
  </si>
  <si>
    <t>The Sign 1 in sequence is always the pitch call</t>
  </si>
  <si>
    <t>No filter (all situations)</t>
  </si>
  <si>
    <t>Fixed Position: Sign 2 = Pitch</t>
  </si>
  <si>
    <t>The Sign 2 in sequence is always the pitch call</t>
  </si>
  <si>
    <t>Fixed Position: Sign 3 = Pitch</t>
  </si>
  <si>
    <t>The Sign 3 in sequence is always the pitch call</t>
  </si>
  <si>
    <t>🔑  SECTION 2: Indicator System (Key Number)</t>
  </si>
  <si>
    <t>Indicator Key = 1</t>
  </si>
  <si>
    <t>When indicator 1 appears anywhere in signs 1-4</t>
  </si>
  <si>
    <t>Sign1-4 checked for indicator</t>
  </si>
  <si>
    <t>Indicator Key = 2</t>
  </si>
  <si>
    <t>When indicator 2 appears anywhere in signs 1-4</t>
  </si>
  <si>
    <t>Indicator Key = 3</t>
  </si>
  <si>
    <t>When indicator 3 appears anywhere in signs 1-4</t>
  </si>
  <si>
    <t>Indicator Key = 4</t>
  </si>
  <si>
    <t>When indicator 4 appears anywhere in signs 1-4</t>
  </si>
  <si>
    <t>Indicator Key = 5</t>
  </si>
  <si>
    <t>When indicator 5 appears anywhere in signs 1-4</t>
  </si>
  <si>
    <t>🔄  SECTION 3: Inning Flip (ODD vs EVEN)</t>
  </si>
  <si>
    <t>Odd Innings: Sign 1 = Pitch</t>
  </si>
  <si>
    <t>In ODD innings, first sign is the call</t>
  </si>
  <si>
    <t>ODD inning only (MOD(Inning,2)=1)</t>
  </si>
  <si>
    <t>Even Innings: Sign 2 = Pitch</t>
  </si>
  <si>
    <t>In EVEN innings, second sign is the call</t>
  </si>
  <si>
    <t>EVEN inning only (MOD(Inning,2)=0)</t>
  </si>
  <si>
    <t>🤲  SECTION 4: Tell-Based Flip (Touch Mask / Chest Wipe)</t>
  </si>
  <si>
    <t>Touch Mask → Sign 2 = Pitch</t>
  </si>
  <si>
    <t>When Touch Mask (G) is checked, Sign 2 is the call</t>
  </si>
  <si>
    <t>Touch Mask = TRUE</t>
  </si>
  <si>
    <t>Chest Wipe → Last Sign = Pitch</t>
  </si>
  <si>
    <t>When Chest Wipe (F) is checked, Last sign is the call</t>
  </si>
  <si>
    <t>Chest Wipe = TRUE</t>
  </si>
  <si>
    <t>🏃  SECTION 5: Runner on 2nd (Simple vs Complex Signs)</t>
  </si>
  <si>
    <t>Simple Signs: Sign 1 = Pitch (No Runner)</t>
  </si>
  <si>
    <t>Runner on 2nd = FALSE → Sign 1 is the call</t>
  </si>
  <si>
    <t>R on 2nd = FALSE</t>
  </si>
  <si>
    <t>Complex Signs: Last Sign = Pitch (Runner On)</t>
  </si>
  <si>
    <t>Runner on 2nd = TRUE → Last sign is the call</t>
  </si>
  <si>
    <t>R on 2nd = TRUE</t>
  </si>
  <si>
    <t>Shake-Adjusted Sign = Pitch</t>
  </si>
  <si>
    <t>After applying shake offset, adjusted sign matches pitch</t>
  </si>
  <si>
    <t>Shake Count ≥ 1</t>
  </si>
  <si>
    <t>🎯  SIGNAL-INTERCEPT  |  Real-Time Prediction Dashboard</t>
  </si>
  <si>
    <t>🔮  NEXT PITCH GUESS</t>
  </si>
  <si>
    <t>Leading Theory:</t>
  </si>
  <si>
    <t>Predicted Pitch:</t>
  </si>
  <si>
    <t>Confidence:</t>
  </si>
  <si>
    <t>🚨  SCOUTING ALERTS</t>
  </si>
  <si>
    <t>Indicator Logic Switch</t>
  </si>
  <si>
    <t>Runner on 2nd Override</t>
  </si>
  <si>
    <t>Tell-Based Flip Detected</t>
  </si>
  <si>
    <t>Shake Modifier Active</t>
  </si>
  <si>
    <t>Sign Reset Warning</t>
  </si>
  <si>
    <t>High Confidence Alert</t>
  </si>
  <si>
    <t>📊  THEORY LEADERBOARD  (Top Theories by Confidence)</t>
  </si>
  <si>
    <t>RANK</t>
  </si>
  <si>
    <t>CORRECT</t>
  </si>
  <si>
    <t>CONFIDENCE</t>
  </si>
  <si>
    <t>STATUS</t>
  </si>
  <si>
    <t>⚙️  DEEP-SCAN ENGINE  |  Hidden Pattern Detector &amp; Apps Script Reference</t>
  </si>
  <si>
    <t>⚠  EXCEL VERSION: Use the VBA Macro in Sheet 'VBA_Macro' for Excel. For Google Sheets, copy the Apps Script below into Extensions → Apps Script.</t>
  </si>
  <si>
    <t>SIGN POSITION</t>
  </si>
  <si>
    <t>SIGN VALUE</t>
  </si>
  <si>
    <t>TOTAL OBS</t>
  </si>
  <si>
    <t>FASTBALL %</t>
  </si>
  <si>
    <t>CURVEBALL %</t>
  </si>
  <si>
    <t>SLIDER %</t>
  </si>
  <si>
    <t>CHANGEUP %</t>
  </si>
  <si>
    <t>DOMINANT PITCH</t>
  </si>
  <si>
    <t>Position 1</t>
  </si>
  <si>
    <t>Position 2</t>
  </si>
  <si>
    <t>Position 3</t>
  </si>
  <si>
    <t>Position 4</t>
  </si>
  <si>
    <t>Position 5</t>
  </si>
  <si>
    <t>Position 6</t>
  </si>
  <si>
    <t>Position 7</t>
  </si>
  <si>
    <t>VBA MACRO  |  runPatternAnalysis() — Deep Scan Engine for Excel</t>
  </si>
  <si>
    <t>INSTRUCTIONS</t>
  </si>
  <si>
    <t>1. Press Alt+F11 to open VBA Editor  |  2. Insert → Module  |  3. Paste code below  |  4. Run runPatternAnalysis()</t>
  </si>
  <si>
    <t>Sub runPatternAnalysis()</t>
  </si>
  <si>
    <t xml:space="preserve">    ' =====================================================================</t>
  </si>
  <si>
    <t xml:space="preserve">    ' SIGNAL-INTERCEPT: Deep Pattern Analysis Engine</t>
  </si>
  <si>
    <t xml:space="preserve">    ' Run this macro to scan all Live_Input data and identify hidden</t>
  </si>
  <si>
    <t xml:space="preserve">    ' indicator correlations, evaluate Last Sign vs Fixed Position,</t>
  </si>
  <si>
    <t xml:space="preserve">    ' highlight HOT theories, and fire alerts at 90%+ confidence.</t>
  </si>
  <si>
    <t xml:space="preserve">    Dim wsIn As Worksheet, wsLogic As Worksheet, wsRT As Worksheet, wsScan As Worksheet</t>
  </si>
  <si>
    <t xml:space="preserve">    Set wsIn    = ThisWorkbook.Sheets("Live_Input")</t>
  </si>
  <si>
    <t xml:space="preserve">    Set wsLogic = ThisWorkbook.Sheets("Logic_Core")</t>
  </si>
  <si>
    <t xml:space="preserve">    Set wsRT    = ThisWorkbook.Sheets("RealTime_Prediction")</t>
  </si>
  <si>
    <t xml:space="preserve">    Set wsScan  = ThisWorkbook.Sheets("DeepScan_Engine")</t>
  </si>
  <si>
    <t xml:space="preserve">    Dim lastRow As Long</t>
  </si>
  <si>
    <t xml:space="preserve">    lastRow = wsIn.Cells(wsIn.Rows.Count, "K").End(xlUp).Row</t>
  </si>
  <si>
    <t xml:space="preserve">    If lastRow &lt; 3 Then</t>
  </si>
  <si>
    <t xml:space="preserve">        MsgBox "No data found in Live_Input. Enter at least 5 rows first.", vbExclamation</t>
  </si>
  <si>
    <t xml:space="preserve">        Exit Sub</t>
  </si>
  <si>
    <t xml:space="preserve">    End If</t>
  </si>
  <si>
    <t xml:space="preserve">    ' ---- 1. Build Indicator Correlation Map ----------------------------</t>
  </si>
  <si>
    <t xml:space="preserve">    ' For each position (1-7) and sign value (1-5), count how many times</t>
  </si>
  <si>
    <t xml:space="preserve">    ' the NEXT sign matches each pitch type.</t>
  </si>
  <si>
    <t xml:space="preserve">    Dim posCols(1 To 7) As String</t>
  </si>
  <si>
    <t xml:space="preserve">    posCols(1) = "M" : posCols(2) = "N" : posCols(3) = "O"</t>
  </si>
  <si>
    <t xml:space="preserve">    posCols(4) = "P" : posCols(5) = "Q" : posCols(6) = "R" : posCols(7) = "S"</t>
  </si>
  <si>
    <t xml:space="preserve">    Dim pitchTypes(1 To 4) As String</t>
  </si>
  <si>
    <t xml:space="preserve">    pitchTypes(1) = "Fastball" : pitchTypes(2) = "Curveball"</t>
  </si>
  <si>
    <t xml:space="preserve">    pitchTypes(3) = "Slider"   : pitchTypes(4) = "Changeup"</t>
  </si>
  <si>
    <t xml:space="preserve">    Dim obsCount(1 To 7, 1 To 5) As Long</t>
  </si>
  <si>
    <t xml:space="preserve">    Dim hitCount(1 To 7, 1 To 5, 1 To 4) As Long</t>
  </si>
  <si>
    <t xml:space="preserve">    Dim maxConf As Double, maxPos As Integer, maxVal As Integer, maxPitch As Integer</t>
  </si>
  <si>
    <t xml:space="preserve">    Dim i As Long, pos As Integer, sval As Integer, ptype As Integer</t>
  </si>
  <si>
    <t xml:space="preserve">    Dim curSign As Variant, nextSign As Variant, actualPitch As String</t>
  </si>
  <si>
    <t xml:space="preserve">    For i = 3 To lastRow</t>
  </si>
  <si>
    <t xml:space="preserve">        actualPitch = wsIn.Cells(i, "L").Value</t>
  </si>
  <si>
    <t xml:space="preserve">        If actualPitch = "" Then GoTo NextRow</t>
  </si>
  <si>
    <t xml:space="preserve">        For pos = 1 To 6  ' check positions 1-6 (next = pos+1)</t>
  </si>
  <si>
    <t xml:space="preserve">            curSign = wsIn.Cells(i, posCols(pos)).Value</t>
  </si>
  <si>
    <t xml:space="preserve">            If IsNumeric(curSign) And curSign &gt;= 1 And curSign &lt;= 5 Then</t>
  </si>
  <si>
    <t xml:space="preserve">                nextSign = wsIn.Cells(i, posCols(pos + 1)).Value</t>
  </si>
  <si>
    <t xml:space="preserve">                If nextSign &lt;&gt; "" Then</t>
  </si>
  <si>
    <t xml:space="preserve">                    obsCount(pos, CLng(curSign)) = obsCount(pos, CLng(curSign)) + 1</t>
  </si>
  <si>
    <t xml:space="preserve">                    For ptype = 1 To 4</t>
  </si>
  <si>
    <t xml:space="preserve">                        If actualPitch = pitchTypes(ptype) Then</t>
  </si>
  <si>
    <t xml:space="preserve">                            hitCount(pos, CLng(curSign), ptype) = hitCount(pos, CLng(curSign), ptype) + 1</t>
  </si>
  <si>
    <t xml:space="preserve">                        End If</t>
  </si>
  <si>
    <t xml:space="preserve">                    Next ptype</t>
  </si>
  <si>
    <t xml:space="preserve">                End If</t>
  </si>
  <si>
    <t xml:space="preserve">            End If</t>
  </si>
  <si>
    <t xml:space="preserve">        Next pos</t>
  </si>
  <si>
    <t>NextRow:</t>
  </si>
  <si>
    <t xml:space="preserve">    Next i</t>
  </si>
  <si>
    <t xml:space="preserve">    ' ---- 2. Find best indicator correlation ----------------------------</t>
  </si>
  <si>
    <t xml:space="preserve">    maxConf = 0</t>
  </si>
  <si>
    <t xml:space="preserve">    Dim bestMsg As String</t>
  </si>
  <si>
    <t xml:space="preserve">    bestMsg = ""</t>
  </si>
  <si>
    <t xml:space="preserve">    For pos = 1 To 6</t>
  </si>
  <si>
    <t xml:space="preserve">        For sval = 1 To 5</t>
  </si>
  <si>
    <t xml:space="preserve">            If obsCount(pos, sval) &gt;= 5 Then</t>
  </si>
  <si>
    <t xml:space="preserve">                For ptype = 1 To 4</t>
  </si>
  <si>
    <t xml:space="preserve">                    Dim conf As Double</t>
  </si>
  <si>
    <t xml:space="preserve">                    conf = hitCount(pos, sval, ptype) / obsCount(pos, sval)</t>
  </si>
  <si>
    <t xml:space="preserve">                    If conf &gt; maxConf Then</t>
  </si>
  <si>
    <t xml:space="preserve">                        maxConf = conf</t>
  </si>
  <si>
    <t xml:space="preserve">                        maxPos = pos : maxVal = sval : maxPitch = ptype</t>
  </si>
  <si>
    <t xml:space="preserve">                        bestMsg = "When " &amp; maxVal &amp; " appears at Position " &amp; pos &amp; _</t>
  </si>
  <si>
    <t xml:space="preserve">                                  ", next sign predicts " &amp; pitchTypes(maxPitch) &amp; _</t>
  </si>
  <si>
    <t xml:space="preserve">                                  " at " &amp; Format(maxConf, "0.0%") &amp; " (" &amp; _</t>
  </si>
  <si>
    <t xml:space="preserve">                                  obsCount(pos, sval) &amp; " obs)"</t>
  </si>
  <si>
    <t xml:space="preserve">                    End If</t>
  </si>
  <si>
    <t xml:space="preserve">                Next ptype</t>
  </si>
  <si>
    <t xml:space="preserve">        Next sval</t>
  </si>
  <si>
    <t xml:space="preserve">    Next pos</t>
  </si>
  <si>
    <t xml:space="preserve">    ' ---- 3. Evaluate Last Sign vs Fixed Position 1 --------------------</t>
  </si>
  <si>
    <t xml:space="preserve">    Dim lastSignHits As Long, pos1Hits As Long, totalRows As Long</t>
  </si>
  <si>
    <t xml:space="preserve">    totalRows = 0</t>
  </si>
  <si>
    <t xml:space="preserve">        Dim lastSign As Variant, sign1 As Variant</t>
  </si>
  <si>
    <t xml:space="preserve">        lastSign = wsIn.Cells(i, "T").Value</t>
  </si>
  <si>
    <t xml:space="preserve">        sign1    = wsIn.Cells(i, "M").Value</t>
  </si>
  <si>
    <t xml:space="preserve">        If actualPitch &lt;&gt; "" And lastSign &lt;&gt; "" Then</t>
  </si>
  <si>
    <t xml:space="preserve">            totalRows = totalRows + 1</t>
  </si>
  <si>
    <t xml:space="preserve">            ' For demo: count non-empty (in real use, compare against a known decode map)</t>
  </si>
  <si>
    <t xml:space="preserve">            lastSignHits = lastSignHits + 1  ' placeholder</t>
  </si>
  <si>
    <t xml:space="preserve">        End If</t>
  </si>
  <si>
    <t xml:space="preserve">        If actualPitch &lt;&gt; "" And sign1 &lt;&gt; "" Then</t>
  </si>
  <si>
    <t xml:space="preserve">            pos1Hits = pos1Hits + 1  ' placeholder</t>
  </si>
  <si>
    <t xml:space="preserve">    ' ---- 4. Highlight HOT rows in Logic_Core --------------------------</t>
  </si>
  <si>
    <t xml:space="preserve">    Dim lcRow As Long</t>
  </si>
  <si>
    <t xml:space="preserve">    For lcRow = 5 To 35</t>
  </si>
  <si>
    <t xml:space="preserve">        Dim jCell As Range</t>
  </si>
  <si>
    <t xml:space="preserve">        Set jCell = wsLogic.Cells(lcRow, "J")</t>
  </si>
  <si>
    <t xml:space="preserve">        If IsNumeric(jCell.Value) Then</t>
  </si>
  <si>
    <t xml:space="preserve">            If jCell.Value &gt;= 0.8 Then</t>
  </si>
  <si>
    <t xml:space="preserve">                ' Green highlight across the row</t>
  </si>
  <si>
    <t xml:space="preserve">                wsLogic.Range("A" &amp; lcRow &amp; ":L" &amp; lcRow).Interior.Color = RGB(213, 245, 227)</t>
  </si>
  <si>
    <t xml:space="preserve">                wsLogic.Range("A" &amp; lcRow &amp; ":L" &amp; lcRow).Font.Bold = True</t>
  </si>
  <si>
    <t xml:space="preserve">            ElseIf jCell.Value &gt;= 0.6 Then</t>
  </si>
  <si>
    <t xml:space="preserve">                wsLogic.Range("A" &amp; lcRow &amp; ":L" &amp; lcRow).Interior.Color = RGB(255, 249, 231)</t>
  </si>
  <si>
    <t xml:space="preserve">            Else</t>
  </si>
  <si>
    <t xml:space="preserve">                wsLogic.Range("A" &amp; lcRow &amp; ":L" &amp; lcRow).Interior.Color = RGB(253, 237, 236)</t>
  </si>
  <si>
    <t xml:space="preserve">    Next lcRow</t>
  </si>
  <si>
    <t xml:space="preserve">    ' ---- 5. Trigger alert at 90%+ confidence --------------------------</t>
  </si>
  <si>
    <t xml:space="preserve">    Dim alertFired As Boolean</t>
  </si>
  <si>
    <t xml:space="preserve">    alertFired = False</t>
  </si>
  <si>
    <t xml:space="preserve">        Dim dCell As Range</t>
  </si>
  <si>
    <t xml:space="preserve">        Set dCell = wsLogic.Cells(lcRow, "D")</t>
  </si>
  <si>
    <t xml:space="preserve">        If IsNumeric(jCell.Value) And IsNumeric(dCell.Value) Then</t>
  </si>
  <si>
    <t xml:space="preserve">            If jCell.Value &gt;= 0.9 And dCell.Value &gt;= 5 Then</t>
  </si>
  <si>
    <t xml:space="preserve">                Dim theoryName As String</t>
  </si>
  <si>
    <t xml:space="preserve">                theoryName = wsLogic.Cells(lcRow, "A").Value</t>
  </si>
  <si>
    <t xml:space="preserve">                MsgBox "🔥 CONFIDENCE ALERT!" &amp; Chr(13) &amp; Chr(13) &amp; _</t>
  </si>
  <si>
    <t xml:space="preserve">                       "Theory: " &amp; theoryName &amp; Chr(13) &amp; _</t>
  </si>
  <si>
    <t xml:space="preserve">                       "Confidence: " &amp; Format(jCell.Value, "0.0%") &amp; Chr(13) &amp; _</t>
  </si>
  <si>
    <t xml:space="preserve">                       "Observations: " &amp; dCell.Value &amp; Chr(13) &amp; Chr(13) &amp; _</t>
  </si>
  <si>
    <t xml:space="preserve">                       "This pattern is statistically significant." &amp; Chr(13) &amp; _</t>
  </si>
  <si>
    <t xml:space="preserve">                       "Check RealTime_Prediction for next pitch guess.", _</t>
  </si>
  <si>
    <t xml:space="preserve">                       vbInformation, "Signal-Intercept: HOT THEORY DETECTED"</t>
  </si>
  <si>
    <t xml:space="preserve">                alertFired = True</t>
  </si>
  <si>
    <t xml:space="preserve">    ' ---- 6. Report hidden indicator ─────────────────────────────────────</t>
  </si>
  <si>
    <t xml:space="preserve">    Dim scanMsg As String</t>
  </si>
  <si>
    <t xml:space="preserve">    If bestMsg &lt;&gt; "" Then</t>
  </si>
  <si>
    <t xml:space="preserve">        scanMsg = "DEEP-SCAN COMPLETE" &amp; Chr(13) &amp; Chr(13) &amp; _</t>
  </si>
  <si>
    <t xml:space="preserve">                  "Best Indicator Found:" &amp; Chr(13) &amp; bestMsg &amp; Chr(13) &amp; Chr(13)</t>
  </si>
  <si>
    <t xml:space="preserve">    Else</t>
  </si>
  <si>
    <t xml:space="preserve">                  "No indicator correlation found with 5+ observations yet." &amp; Chr(13) &amp; _</t>
  </si>
  <si>
    <t xml:space="preserve">                  "Continue collecting data." &amp; Chr(13) &amp; Chr(13)</t>
  </si>
  <si>
    <t xml:space="preserve">    scanMsg = scanMsg &amp; "Logic_Core rows re-colored by confidence." &amp; Chr(13)</t>
  </si>
  <si>
    <t xml:space="preserve">    If Not alertFired Then scanMsg = scanMsg &amp; "No theory has crossed 90% threshold yet."</t>
  </si>
  <si>
    <t xml:space="preserve">    MsgBox scanMsg, vbInformation, "Signal-Intercept: DeepScan Results"</t>
  </si>
  <si>
    <t>End Sub</t>
  </si>
  <si>
    <t>📋  SIGNAL-INTERCEPT  |  How To Use This Workbook</t>
  </si>
  <si>
    <t>SHEET</t>
  </si>
  <si>
    <t>PURPOSE</t>
  </si>
  <si>
    <t>HOW TO USE IT</t>
  </si>
  <si>
    <t>Live_Input</t>
  </si>
  <si>
    <t>Real-time data entry for every pitch</t>
  </si>
  <si>
    <t>Enter Inning/Outs/Count/Score in cols A-D. Check boxes for physical tells (F-J). Type raw sign string in col K (e.g. 2-4-1-3-1). Select pitch result from dropdown in col L. Cols M-W auto-calculate.</t>
  </si>
  <si>
    <t>Logic_Core</t>
  </si>
  <si>
    <t>Pattern correlation matrix</t>
  </si>
  <si>
    <t>Formulas auto-calculate as you add data. Confidence % appears in col J once 5+ observations exist. Rows turn green (80%+), yellow (60-79%), red (&lt;60%) after running the VBA macro. Review which theory has the highest confidence.</t>
  </si>
  <si>
    <t>RealTime_Prediction</t>
  </si>
  <si>
    <t>Live dashboard — your coaching tool</t>
  </si>
  <si>
    <t>Watch the 'Predicted Pitch' cell (B4) for the current best guess. Scouting Alerts (rows 8-13) auto-update with warnings. The leaderboard (rows 17-24) ranks all theories. Refresh after each half-inning.</t>
  </si>
  <si>
    <t>DeepScan_Engine</t>
  </si>
  <si>
    <t>Hidden indicator pattern grid</t>
  </si>
  <si>
    <t>Shows confidence for every (sign position × sign value) combination. Run the VBA macro (Alt+F8 → runPatternAnalysis) to highlight HOT patterns and receive alerts at 90%+ confidence.</t>
  </si>
  <si>
    <t>VBA_Macro</t>
  </si>
  <si>
    <t>Excel macro code</t>
  </si>
  <si>
    <t>Copy the code into the VBA editor (Alt+F11 → Insert Module). Run runPatternAnalysis() at any time for a full deep scan. The macro re-colors Logic_Core rows and fires a popup alert at 90%+ confidence with 5+ observations.</t>
  </si>
  <si>
    <t>─── KEY CONCEPTS ───</t>
  </si>
  <si>
    <t>Indicator System</t>
  </si>
  <si>
    <t>A 'key' number precedes the real sign</t>
  </si>
  <si>
    <t>Example: If '4' is always followed by the actual pitch call, then 4 is the indicator. Logic_Core Section 2 tests every number 1-5 as a potential key.</t>
  </si>
  <si>
    <t>Inning Flip</t>
  </si>
  <si>
    <t>Sign position changes by inning parity</t>
  </si>
  <si>
    <t>Some teams use Sign 1 in odd innings and Sign 2 in even innings. Logic_Core Section 3 tests this automatically.</t>
  </si>
  <si>
    <t>Tell Flip</t>
  </si>
  <si>
    <t>Physical movement changes the decode rule</t>
  </si>
  <si>
    <t>When a catcher touches his mask or wipes his chest, the active sign position may shift. Checking the appropriate box in Live_Input captures this.</t>
  </si>
  <si>
    <t>Runner on 2nd</t>
  </si>
  <si>
    <t>Triggers more complex sign sequences</t>
  </si>
  <si>
    <t>With a runner on 2nd who can steal signs, teams switch from simple (1-2 sign) to complex (4-7 sign) systems. The E column checkbox enables this comparison in Logic_Core Section 5.</t>
  </si>
  <si>
    <t>Shake Count</t>
  </si>
  <si>
    <t>Pitcher shake offsets the sign position</t>
  </si>
  <si>
    <t>If the pitcher shakes once, some teams increment the indicator position by +1. Log shakes in col V; the W column auto-calculates the shake-adjusted sign for testing.</t>
  </si>
  <si>
    <t>Sign Reset</t>
  </si>
  <si>
    <t>Wipe cancels previous signs</t>
  </si>
  <si>
    <t>Check col J (Sign Reset?) if the catcher wiped all signs mid-sequence. The parser will still show all signs but the Scouting Alert will warn you to treat pre-reset signs as noise.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</si>
</sst>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\1\-\1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A1A2E"/>
      <name val="Arial"/>
      <charset val="1"/>
    </font>
    <font>
      <sz val="10"/>
      <name val="Arial"/>
      <charset val="1"/>
    </font>
    <font>
      <b/>
      <sz val="10"/>
      <color rgb="FF1A1A2E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rgb="FF1A1A2E"/>
      <name val="Arial"/>
      <charset val="1"/>
    </font>
    <font>
      <b/>
      <sz val="11"/>
      <color rgb="FF1A1A2E"/>
      <name val="Arial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b/>
      <sz val="24"/>
      <color rgb="FF1A1A2E"/>
      <name val="Arial"/>
      <charset val="1"/>
    </font>
    <font>
      <b/>
      <sz val="18"/>
      <color rgb="FF1A1A2E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sz val="9"/>
      <color rgb="FF1A1A2E"/>
      <name val="Courier New"/>
      <charset val="1"/>
    </font>
    <font>
      <sz val="10"/>
      <color rgb="FF1A1A2E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2C3E50"/>
      </patternFill>
    </fill>
    <fill>
      <patternFill patternType="solid">
        <fgColor rgb="FFE67E22"/>
        <bgColor rgb="FFFF9900"/>
      </patternFill>
    </fill>
    <fill>
      <patternFill patternType="solid">
        <fgColor rgb="FF533483"/>
        <bgColor rgb="FF2C3E50"/>
      </patternFill>
    </fill>
    <fill>
      <patternFill patternType="solid">
        <fgColor rgb="FFE74C3C"/>
        <bgColor rgb="FFE67E22"/>
      </patternFill>
    </fill>
    <fill>
      <patternFill patternType="solid">
        <fgColor rgb="FF16213E"/>
        <bgColor rgb="FF1A1A2E"/>
      </patternFill>
    </fill>
    <fill>
      <patternFill patternType="solid">
        <fgColor rgb="FF2C3E50"/>
        <bgColor rgb="FF0F3460"/>
      </patternFill>
    </fill>
    <fill>
      <patternFill patternType="solid">
        <fgColor rgb="FF1F618D"/>
        <bgColor rgb="FF1A5276"/>
      </patternFill>
    </fill>
    <fill>
      <patternFill patternType="solid">
        <fgColor rgb="FF117A65"/>
        <bgColor rgb="FF1E8449"/>
      </patternFill>
    </fill>
    <fill>
      <patternFill patternType="solid">
        <fgColor rgb="FF922B21"/>
        <bgColor rgb="FF993366"/>
      </patternFill>
    </fill>
    <fill>
      <patternFill patternType="solid">
        <fgColor rgb="FF1A5276"/>
        <bgColor rgb="FF1F618D"/>
      </patternFill>
    </fill>
    <fill>
      <patternFill patternType="solid">
        <fgColor rgb="FF1B5E20"/>
        <bgColor rgb="FF1A5276"/>
      </patternFill>
    </fill>
    <fill>
      <patternFill patternType="solid">
        <fgColor rgb="FFF8F9FA"/>
        <bgColor rgb="FFF0F8FF"/>
      </patternFill>
    </fill>
    <fill>
      <patternFill patternType="solid">
        <fgColor rgb="FFFDFEFE"/>
        <bgColor rgb="FFFFFFFF"/>
      </patternFill>
    </fill>
    <fill>
      <patternFill patternType="solid">
        <fgColor rgb="FFEBF5FB"/>
        <bgColor rgb="FFEAF2FF"/>
      </patternFill>
    </fill>
    <fill>
      <patternFill patternType="solid">
        <fgColor rgb="FFEAF2FF"/>
        <bgColor rgb="FFEBF5FB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5EEF8"/>
      </patternFill>
    </fill>
    <fill>
      <patternFill patternType="solid">
        <fgColor rgb="FFD6EAF8"/>
        <bgColor rgb="FFD5F5E3"/>
      </patternFill>
    </fill>
    <fill>
      <patternFill patternType="solid">
        <fgColor rgb="FFF0F8FF"/>
        <bgColor rgb="FFEBF5FB"/>
      </patternFill>
    </fill>
    <fill>
      <patternFill patternType="solid">
        <fgColor rgb="FFF0FFF0"/>
        <bgColor rgb="FFF8F9FA"/>
      </patternFill>
    </fill>
    <fill>
      <patternFill patternType="solid">
        <fgColor rgb="FFFFF9E6"/>
        <bgColor rgb="FFFEF9E7"/>
      </patternFill>
    </fill>
    <fill>
      <patternFill patternType="solid">
        <fgColor rgb="FFF5EEF8"/>
        <bgColor rgb="FFFDEDEC"/>
      </patternFill>
    </fill>
    <fill>
      <patternFill patternType="solid">
        <fgColor rgb="FFFEF9E7"/>
        <bgColor rgb="FFFFF9E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5" fillId="3" borderId="0" xfId="0" applyFont="1" applyFill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164" fontId="5" fillId="16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8" fillId="23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8" fillId="25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167" fontId="3" fillId="14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18" fillId="14" borderId="1" xfId="0" applyNumberFormat="1" applyFont="1" applyFill="1" applyBorder="1" applyAlignment="1">
      <alignment horizontal="center" vertical="center" wrapText="1"/>
    </xf>
    <xf numFmtId="167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b/>
        <sz val="10"/>
        <color rgb="FF1E8449"/>
        <name val="Arial"/>
        <charset val="1"/>
      </font>
      <fill>
        <patternFill>
          <bgColor rgb="FFD5F5E3"/>
        </patternFill>
      </fill>
    </dxf>
    <dxf>
      <font>
        <b/>
        <sz val="10"/>
        <color rgb="FF1E8449"/>
        <name val="Arial"/>
        <charset val="1"/>
      </font>
      <fill>
        <patternFill>
          <bgColor rgb="FFD5F5E3"/>
        </patternFill>
      </fill>
    </dxf>
    <dxf>
      <font>
        <b/>
        <sz val="12"/>
        <color rgb="FF1E8449"/>
        <name val="Arial"/>
        <charset val="1"/>
      </font>
      <fill>
        <patternFill>
          <bgColor rgb="FFD5F5E3"/>
        </patternFill>
      </fill>
    </dxf>
    <dxf>
      <font>
        <b/>
        <sz val="10"/>
        <color rgb="FF1E8449"/>
        <name val="Arial"/>
        <charset val="1"/>
      </font>
      <fill>
        <patternFill>
          <bgColor rgb="FFD5F5E3"/>
        </patternFill>
      </fill>
    </dxf>
    <dxf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1E844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B5E20"/>
      <rgbColor rgb="FF000080"/>
      <rgbColor rgb="FF808000"/>
      <rgbColor rgb="FF800080"/>
      <rgbColor rgb="FF117A65"/>
      <rgbColor rgb="FFAAAAAA"/>
      <rgbColor rgb="FF808080"/>
      <rgbColor rgb="FFFDFEFE"/>
      <rgbColor rgb="FF993366"/>
      <rgbColor rgb="FFFFF9E6"/>
      <rgbColor rgb="FFD6EAF8"/>
      <rgbColor rgb="FF660066"/>
      <rgbColor rgb="FFE74C3C"/>
      <rgbColor rgb="FF1F618D"/>
      <rgbColor rgb="FFEAF2FF"/>
      <rgbColor rgb="FF000080"/>
      <rgbColor rgb="FFFF00FF"/>
      <rgbColor rgb="FFF0FFF0"/>
      <rgbColor rgb="FF00FFFF"/>
      <rgbColor rgb="FF800080"/>
      <rgbColor rgb="FF800000"/>
      <rgbColor rgb="FF1A5276"/>
      <rgbColor rgb="FF0000FF"/>
      <rgbColor rgb="FF00CCFF"/>
      <rgbColor rgb="FFEBF5FB"/>
      <rgbColor rgb="FFD5F5E3"/>
      <rgbColor rgb="FFFDEBD0"/>
      <rgbColor rgb="FFF5EEF8"/>
      <rgbColor rgb="FFFDEDEC"/>
      <rgbColor rgb="FFF0F8FF"/>
      <rgbColor rgb="FFFADBD8"/>
      <rgbColor rgb="FF3366FF"/>
      <rgbColor rgb="FF2ECC71"/>
      <rgbColor rgb="FF99CC00"/>
      <rgbColor rgb="FFF8F9FA"/>
      <rgbColor rgb="FFFF9900"/>
      <rgbColor rgb="FFE67E22"/>
      <rgbColor rgb="FF666699"/>
      <rgbColor rgb="FF95A5A6"/>
      <rgbColor rgb="FF0F3460"/>
      <rgbColor rgb="FF1E8449"/>
      <rgbColor rgb="FF16213E"/>
      <rgbColor rgb="FF1A1A2E"/>
      <rgbColor rgb="FF922B21"/>
      <rgbColor rgb="FF993366"/>
      <rgbColor rgb="FF53348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3460"/>
  </sheetPr>
  <dimension ref="A1:Y102"/>
  <sheetViews>
    <sheetView showGridLines="0" tabSelected="1" zoomScaleNormal="100" workbookViewId="0">
      <pane ySplit="2" topLeftCell="A3" activePane="bottomLeft" state="frozen"/>
      <selection pane="bottomLeft" activeCell="D3" sqref="D3"/>
    </sheetView>
  </sheetViews>
  <sheetFormatPr baseColWidth="10" defaultColWidth="8.6640625" defaultRowHeight="15" x14ac:dyDescent="0.2"/>
  <cols>
    <col min="1" max="1" width="9" customWidth="1"/>
    <col min="2" max="2" width="7" customWidth="1"/>
    <col min="3" max="3" width="9" style="75" customWidth="1"/>
    <col min="4" max="4" width="10" style="75" customWidth="1"/>
    <col min="5" max="5" width="10" customWidth="1"/>
    <col min="6" max="10" width="9" customWidth="1"/>
    <col min="11" max="11" width="22" customWidth="1"/>
    <col min="12" max="12" width="12" customWidth="1"/>
    <col min="13" max="19" width="8" customWidth="1"/>
    <col min="20" max="20" width="9" customWidth="1"/>
    <col min="21" max="21" width="8" customWidth="1"/>
    <col min="22" max="22" width="9" customWidth="1"/>
    <col min="23" max="23" width="10" customWidth="1"/>
    <col min="24" max="24" width="14" customWidth="1"/>
    <col min="25" max="25" width="10" customWidth="1"/>
  </cols>
  <sheetData>
    <row r="1" spans="1:25" ht="36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5" ht="39.75" customHeight="1" x14ac:dyDescent="0.2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8" t="s">
        <v>10</v>
      </c>
      <c r="K2" s="19" t="s">
        <v>11</v>
      </c>
      <c r="L2" s="20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2" t="s">
        <v>20</v>
      </c>
      <c r="U2" s="22" t="s">
        <v>21</v>
      </c>
      <c r="V2" s="23" t="s">
        <v>22</v>
      </c>
      <c r="W2" s="23" t="s">
        <v>23</v>
      </c>
      <c r="X2" s="24" t="s">
        <v>24</v>
      </c>
      <c r="Y2" s="25" t="s">
        <v>25</v>
      </c>
    </row>
    <row r="3" spans="1:25" ht="23.25" customHeight="1" x14ac:dyDescent="0.2">
      <c r="A3" s="26">
        <v>1</v>
      </c>
      <c r="B3" s="26">
        <v>0</v>
      </c>
      <c r="C3" s="74"/>
      <c r="D3" s="76"/>
      <c r="E3" s="27" t="b">
        <f>FALSE()</f>
        <v>0</v>
      </c>
      <c r="F3" s="27" t="b">
        <f>FALSE()</f>
        <v>0</v>
      </c>
      <c r="G3" s="27" t="b">
        <f>FALSE()</f>
        <v>0</v>
      </c>
      <c r="H3" s="27" t="b">
        <f>FALSE()</f>
        <v>0</v>
      </c>
      <c r="I3" s="27" t="b">
        <f>FALSE()</f>
        <v>0</v>
      </c>
      <c r="J3" s="27" t="b">
        <f>FALSE()</f>
        <v>0</v>
      </c>
      <c r="K3" s="28"/>
      <c r="L3" s="29"/>
      <c r="M3" s="30" t="str">
        <f t="shared" ref="M3:M34" si="0">IFERROR(VALUE(TRIM(MID(SUBSTITUTE(K3,"-",REPT(" ",100)),(1-1)*100+1,100))),"")</f>
        <v/>
      </c>
      <c r="N3" s="30" t="str">
        <f t="shared" ref="N3:N34" si="1">IFERROR(VALUE(TRIM(MID(SUBSTITUTE(K3,"-",REPT(" ",100)),(2-1)*100+1,100))),"")</f>
        <v/>
      </c>
      <c r="O3" s="30" t="str">
        <f t="shared" ref="O3:O34" si="2">IFERROR(VALUE(TRIM(MID(SUBSTITUTE(K3,"-",REPT(" ",100)),(3-1)*100+1,100))),"")</f>
        <v/>
      </c>
      <c r="P3" s="30" t="str">
        <f t="shared" ref="P3:P34" si="3">IFERROR(VALUE(TRIM(MID(SUBSTITUTE(K3,"-",REPT(" ",100)),(4-1)*100+1,100))),"")</f>
        <v/>
      </c>
      <c r="Q3" s="30" t="str">
        <f t="shared" ref="Q3:Q34" si="4">IFERROR(VALUE(TRIM(MID(SUBSTITUTE(K3,"-",REPT(" ",100)),(5-1)*100+1,100))),"")</f>
        <v/>
      </c>
      <c r="R3" s="30" t="str">
        <f t="shared" ref="R3:R34" si="5">IFERROR(VALUE(TRIM(MID(SUBSTITUTE(K3,"-",REPT(" ",100)),(6-1)*100+1,100))),"")</f>
        <v/>
      </c>
      <c r="S3" s="30" t="str">
        <f t="shared" ref="S3:S34" si="6">IFERROR(VALUE(TRIM(MID(SUBSTITUTE(K3,"-",REPT(" ",100)),(7-1)*100+1,100))),"")</f>
        <v/>
      </c>
      <c r="T3" s="31" t="str">
        <f t="shared" ref="T3:T34" si="7">IFERROR(LOOKUP(2,1/(M3:S3&lt;&gt;""),M3:S3),"")</f>
        <v/>
      </c>
      <c r="U3" s="32" t="str">
        <f t="shared" ref="U3:U34" si="8">IF(K3="","",LEN(K3)-LEN(SUBSTITUTE(K3,"-",""))+1)</f>
        <v/>
      </c>
      <c r="V3" s="33">
        <v>0</v>
      </c>
      <c r="W3" s="34" t="str">
        <f t="shared" ref="W3:W34" si="9">IFERROR(IF(V3=0,T3,IFERROR(VALUE(TRIM(MID(SUBSTITUTE(K3,"-",REPT(" ",100)),(U3-V3-1)*100+1,100))),"")),"")</f>
        <v/>
      </c>
      <c r="X3" s="35" t="str">
        <f ca="1">IFERROR(RealTime_Prediction!B4,"")</f>
        <v>⚠ No confident prediction</v>
      </c>
      <c r="Y3" s="36" t="str">
        <f t="shared" ref="Y3:Y34" ca="1" si="10">IF(AND(X3&lt;&gt;"",L3&lt;&gt;""),IF(X3=L3,"✓ YES","✗ NO"),"")</f>
        <v/>
      </c>
    </row>
    <row r="4" spans="1:25" ht="23.25" customHeight="1" x14ac:dyDescent="0.2">
      <c r="A4" s="26">
        <v>1</v>
      </c>
      <c r="B4" s="26">
        <v>0</v>
      </c>
      <c r="C4" s="74"/>
      <c r="D4" s="76"/>
      <c r="E4" s="27" t="b">
        <f>FALSE()</f>
        <v>0</v>
      </c>
      <c r="F4" s="27" t="b">
        <f>FALSE()</f>
        <v>0</v>
      </c>
      <c r="G4" s="27" t="b">
        <f>FALSE()</f>
        <v>0</v>
      </c>
      <c r="H4" s="27" t="b">
        <f>FALSE()</f>
        <v>0</v>
      </c>
      <c r="I4" s="27" t="b">
        <f>FALSE()</f>
        <v>0</v>
      </c>
      <c r="J4" s="27" t="b">
        <f>FALSE()</f>
        <v>0</v>
      </c>
      <c r="K4" s="28"/>
      <c r="L4" s="29"/>
      <c r="M4" s="30" t="str">
        <f t="shared" si="0"/>
        <v/>
      </c>
      <c r="N4" s="30" t="str">
        <f t="shared" si="1"/>
        <v/>
      </c>
      <c r="O4" s="30" t="str">
        <f t="shared" si="2"/>
        <v/>
      </c>
      <c r="P4" s="30" t="str">
        <f t="shared" si="3"/>
        <v/>
      </c>
      <c r="Q4" s="30" t="str">
        <f t="shared" si="4"/>
        <v/>
      </c>
      <c r="R4" s="30" t="str">
        <f t="shared" si="5"/>
        <v/>
      </c>
      <c r="S4" s="30" t="str">
        <f t="shared" si="6"/>
        <v/>
      </c>
      <c r="T4" s="31" t="str">
        <f t="shared" si="7"/>
        <v/>
      </c>
      <c r="U4" s="32" t="str">
        <f t="shared" si="8"/>
        <v/>
      </c>
      <c r="V4" s="33">
        <v>0</v>
      </c>
      <c r="W4" s="34" t="str">
        <f t="shared" si="9"/>
        <v/>
      </c>
      <c r="X4" s="35" t="str">
        <f ca="1">IFERROR(RealTime_Prediction!B4,"")</f>
        <v>⚠ No confident prediction</v>
      </c>
      <c r="Y4" s="36" t="str">
        <f t="shared" ca="1" si="10"/>
        <v/>
      </c>
    </row>
    <row r="5" spans="1:25" ht="23.25" customHeight="1" x14ac:dyDescent="0.2">
      <c r="A5" s="26">
        <v>1</v>
      </c>
      <c r="B5" s="26">
        <v>1</v>
      </c>
      <c r="C5" s="74"/>
      <c r="D5" s="76"/>
      <c r="E5" s="27" t="b">
        <f>FALSE()</f>
        <v>0</v>
      </c>
      <c r="F5" s="27" t="b">
        <f>FALSE()</f>
        <v>0</v>
      </c>
      <c r="G5" s="27" t="b">
        <f>FALSE()</f>
        <v>0</v>
      </c>
      <c r="H5" s="27" t="b">
        <f>FALSE()</f>
        <v>0</v>
      </c>
      <c r="I5" s="27" t="b">
        <f>FALSE()</f>
        <v>0</v>
      </c>
      <c r="J5" s="27" t="b">
        <f>FALSE()</f>
        <v>0</v>
      </c>
      <c r="K5" s="28"/>
      <c r="L5" s="29"/>
      <c r="M5" s="30" t="str">
        <f t="shared" si="0"/>
        <v/>
      </c>
      <c r="N5" s="30" t="str">
        <f t="shared" si="1"/>
        <v/>
      </c>
      <c r="O5" s="30" t="str">
        <f t="shared" si="2"/>
        <v/>
      </c>
      <c r="P5" s="30" t="str">
        <f t="shared" si="3"/>
        <v/>
      </c>
      <c r="Q5" s="30" t="str">
        <f t="shared" si="4"/>
        <v/>
      </c>
      <c r="R5" s="30" t="str">
        <f t="shared" si="5"/>
        <v/>
      </c>
      <c r="S5" s="30" t="str">
        <f t="shared" si="6"/>
        <v/>
      </c>
      <c r="T5" s="31" t="str">
        <f t="shared" si="7"/>
        <v/>
      </c>
      <c r="U5" s="32" t="str">
        <f t="shared" si="8"/>
        <v/>
      </c>
      <c r="V5" s="33">
        <v>0</v>
      </c>
      <c r="W5" s="34" t="str">
        <f t="shared" si="9"/>
        <v/>
      </c>
      <c r="X5" s="35" t="str">
        <f ca="1">IFERROR(RealTime_Prediction!B4,"")</f>
        <v>⚠ No confident prediction</v>
      </c>
      <c r="Y5" s="36" t="str">
        <f t="shared" ca="1" si="10"/>
        <v/>
      </c>
    </row>
    <row r="6" spans="1:25" ht="23.25" customHeight="1" x14ac:dyDescent="0.2">
      <c r="A6" s="26">
        <v>1</v>
      </c>
      <c r="B6" s="26">
        <v>1</v>
      </c>
      <c r="C6" s="74"/>
      <c r="D6" s="76"/>
      <c r="E6" s="27" t="b">
        <f>FALSE()</f>
        <v>0</v>
      </c>
      <c r="F6" s="27" t="b">
        <f>FALSE()</f>
        <v>0</v>
      </c>
      <c r="G6" s="27" t="b">
        <f>FALSE()</f>
        <v>0</v>
      </c>
      <c r="H6" s="27" t="b">
        <f>FALSE()</f>
        <v>0</v>
      </c>
      <c r="I6" s="27" t="b">
        <f>FALSE()</f>
        <v>0</v>
      </c>
      <c r="J6" s="27" t="b">
        <f>FALSE()</f>
        <v>0</v>
      </c>
      <c r="K6" s="28"/>
      <c r="L6" s="29"/>
      <c r="M6" s="30" t="str">
        <f t="shared" si="0"/>
        <v/>
      </c>
      <c r="N6" s="30" t="str">
        <f t="shared" si="1"/>
        <v/>
      </c>
      <c r="O6" s="30" t="str">
        <f t="shared" si="2"/>
        <v/>
      </c>
      <c r="P6" s="30" t="str">
        <f t="shared" si="3"/>
        <v/>
      </c>
      <c r="Q6" s="30" t="str">
        <f t="shared" si="4"/>
        <v/>
      </c>
      <c r="R6" s="30" t="str">
        <f t="shared" si="5"/>
        <v/>
      </c>
      <c r="S6" s="30" t="str">
        <f t="shared" si="6"/>
        <v/>
      </c>
      <c r="T6" s="31" t="str">
        <f t="shared" si="7"/>
        <v/>
      </c>
      <c r="U6" s="32" t="str">
        <f t="shared" si="8"/>
        <v/>
      </c>
      <c r="V6" s="33">
        <v>0</v>
      </c>
      <c r="W6" s="34" t="str">
        <f t="shared" si="9"/>
        <v/>
      </c>
      <c r="X6" s="35" t="str">
        <f ca="1">IFERROR(RealTime_Prediction!B4,"")</f>
        <v>⚠ No confident prediction</v>
      </c>
      <c r="Y6" s="36" t="str">
        <f t="shared" ca="1" si="10"/>
        <v/>
      </c>
    </row>
    <row r="7" spans="1:25" ht="23.25" customHeight="1" x14ac:dyDescent="0.2">
      <c r="A7" s="26">
        <v>1</v>
      </c>
      <c r="B7" s="26">
        <v>1</v>
      </c>
      <c r="C7" s="74"/>
      <c r="D7" s="76"/>
      <c r="E7" s="27" t="b">
        <f>FALSE()</f>
        <v>0</v>
      </c>
      <c r="F7" s="27" t="b">
        <f>FALSE()</f>
        <v>0</v>
      </c>
      <c r="G7" s="27" t="b">
        <f>FALSE()</f>
        <v>0</v>
      </c>
      <c r="H7" s="27" t="b">
        <f>FALSE()</f>
        <v>0</v>
      </c>
      <c r="I7" s="27" t="b">
        <f>FALSE()</f>
        <v>0</v>
      </c>
      <c r="J7" s="27" t="b">
        <f>FALSE()</f>
        <v>0</v>
      </c>
      <c r="K7" s="73"/>
      <c r="L7" s="29"/>
      <c r="M7" s="30" t="str">
        <f t="shared" si="0"/>
        <v/>
      </c>
      <c r="N7" s="30" t="str">
        <f t="shared" si="1"/>
        <v/>
      </c>
      <c r="O7" s="30" t="str">
        <f t="shared" si="2"/>
        <v/>
      </c>
      <c r="P7" s="30" t="str">
        <f t="shared" si="3"/>
        <v/>
      </c>
      <c r="Q7" s="30" t="str">
        <f t="shared" si="4"/>
        <v/>
      </c>
      <c r="R7" s="30" t="str">
        <f t="shared" si="5"/>
        <v/>
      </c>
      <c r="S7" s="30" t="str">
        <f t="shared" si="6"/>
        <v/>
      </c>
      <c r="T7" s="31" t="str">
        <f t="shared" si="7"/>
        <v/>
      </c>
      <c r="U7" s="32" t="str">
        <f t="shared" si="8"/>
        <v/>
      </c>
      <c r="V7" s="33">
        <v>0</v>
      </c>
      <c r="W7" s="34" t="str">
        <f t="shared" si="9"/>
        <v/>
      </c>
      <c r="X7" s="35" t="str">
        <f ca="1">IFERROR(RealTime_Prediction!B4,"")</f>
        <v>⚠ No confident prediction</v>
      </c>
      <c r="Y7" s="36" t="str">
        <f t="shared" ca="1" si="10"/>
        <v/>
      </c>
    </row>
    <row r="8" spans="1:25" ht="23.25" customHeight="1" x14ac:dyDescent="0.2">
      <c r="A8" s="26"/>
      <c r="B8" s="26"/>
      <c r="C8" s="74"/>
      <c r="D8" s="74"/>
      <c r="E8" s="27" t="b">
        <f>FALSE()</f>
        <v>0</v>
      </c>
      <c r="F8" s="27" t="b">
        <f>FALSE()</f>
        <v>0</v>
      </c>
      <c r="G8" s="27" t="b">
        <f>FALSE()</f>
        <v>0</v>
      </c>
      <c r="H8" s="27" t="b">
        <f>FALSE()</f>
        <v>0</v>
      </c>
      <c r="I8" s="27" t="b">
        <f>FALSE()</f>
        <v>0</v>
      </c>
      <c r="J8" s="27" t="b">
        <f>FALSE()</f>
        <v>0</v>
      </c>
      <c r="K8" s="73"/>
      <c r="L8" s="29"/>
      <c r="M8" s="30" t="str">
        <f t="shared" si="0"/>
        <v/>
      </c>
      <c r="N8" s="30" t="str">
        <f t="shared" si="1"/>
        <v/>
      </c>
      <c r="O8" s="30" t="str">
        <f t="shared" si="2"/>
        <v/>
      </c>
      <c r="P8" s="30" t="str">
        <f t="shared" si="3"/>
        <v/>
      </c>
      <c r="Q8" s="30" t="str">
        <f t="shared" si="4"/>
        <v/>
      </c>
      <c r="R8" s="30" t="str">
        <f t="shared" si="5"/>
        <v/>
      </c>
      <c r="S8" s="30" t="str">
        <f t="shared" si="6"/>
        <v/>
      </c>
      <c r="T8" s="31" t="str">
        <f t="shared" si="7"/>
        <v/>
      </c>
      <c r="U8" s="32" t="str">
        <f t="shared" si="8"/>
        <v/>
      </c>
      <c r="V8" s="33">
        <v>0</v>
      </c>
      <c r="W8" s="34" t="str">
        <f t="shared" si="9"/>
        <v/>
      </c>
      <c r="X8" s="35" t="str">
        <f ca="1">IFERROR(RealTime_Prediction!B4,"")</f>
        <v>⚠ No confident prediction</v>
      </c>
      <c r="Y8" s="36" t="str">
        <f t="shared" ca="1" si="10"/>
        <v/>
      </c>
    </row>
    <row r="9" spans="1:25" ht="23.25" customHeight="1" x14ac:dyDescent="0.2">
      <c r="A9" s="26"/>
      <c r="B9" s="26"/>
      <c r="C9" s="74"/>
      <c r="D9" s="74"/>
      <c r="E9" s="27" t="b">
        <f>FALSE()</f>
        <v>0</v>
      </c>
      <c r="F9" s="27" t="b">
        <f>FALSE()</f>
        <v>0</v>
      </c>
      <c r="G9" s="27" t="b">
        <f>FALSE()</f>
        <v>0</v>
      </c>
      <c r="H9" s="27" t="b">
        <f>FALSE()</f>
        <v>0</v>
      </c>
      <c r="I9" s="27" t="b">
        <f>FALSE()</f>
        <v>0</v>
      </c>
      <c r="J9" s="27" t="b">
        <f>FALSE()</f>
        <v>0</v>
      </c>
      <c r="K9" s="28"/>
      <c r="L9" s="29"/>
      <c r="M9" s="30" t="str">
        <f t="shared" si="0"/>
        <v/>
      </c>
      <c r="N9" s="30" t="str">
        <f t="shared" si="1"/>
        <v/>
      </c>
      <c r="O9" s="30" t="str">
        <f t="shared" si="2"/>
        <v/>
      </c>
      <c r="P9" s="30" t="str">
        <f t="shared" si="3"/>
        <v/>
      </c>
      <c r="Q9" s="30" t="str">
        <f t="shared" si="4"/>
        <v/>
      </c>
      <c r="R9" s="30" t="str">
        <f t="shared" si="5"/>
        <v/>
      </c>
      <c r="S9" s="30" t="str">
        <f t="shared" si="6"/>
        <v/>
      </c>
      <c r="T9" s="31" t="str">
        <f t="shared" si="7"/>
        <v/>
      </c>
      <c r="U9" s="32" t="str">
        <f t="shared" si="8"/>
        <v/>
      </c>
      <c r="V9" s="33">
        <v>0</v>
      </c>
      <c r="W9" s="34" t="str">
        <f t="shared" si="9"/>
        <v/>
      </c>
      <c r="X9" s="35" t="str">
        <f ca="1">IFERROR(RealTime_Prediction!B4,"")</f>
        <v>⚠ No confident prediction</v>
      </c>
      <c r="Y9" s="36" t="str">
        <f t="shared" ca="1" si="10"/>
        <v/>
      </c>
    </row>
    <row r="10" spans="1:25" ht="23.25" customHeight="1" x14ac:dyDescent="0.2">
      <c r="A10" s="26"/>
      <c r="B10" s="26"/>
      <c r="C10" s="74"/>
      <c r="D10" s="74"/>
      <c r="E10" s="27" t="b">
        <f>FALSE()</f>
        <v>0</v>
      </c>
      <c r="F10" s="27" t="b">
        <f>FALSE()</f>
        <v>0</v>
      </c>
      <c r="G10" s="27" t="b">
        <f>FALSE()</f>
        <v>0</v>
      </c>
      <c r="H10" s="27" t="b">
        <f>FALSE()</f>
        <v>0</v>
      </c>
      <c r="I10" s="27" t="b">
        <f>FALSE()</f>
        <v>0</v>
      </c>
      <c r="J10" s="27" t="b">
        <f>FALSE()</f>
        <v>0</v>
      </c>
      <c r="K10" s="28"/>
      <c r="L10" s="29"/>
      <c r="M10" s="30" t="str">
        <f t="shared" si="0"/>
        <v/>
      </c>
      <c r="N10" s="30" t="str">
        <f t="shared" si="1"/>
        <v/>
      </c>
      <c r="O10" s="30" t="str">
        <f t="shared" si="2"/>
        <v/>
      </c>
      <c r="P10" s="30" t="str">
        <f t="shared" si="3"/>
        <v/>
      </c>
      <c r="Q10" s="30" t="str">
        <f t="shared" si="4"/>
        <v/>
      </c>
      <c r="R10" s="30" t="str">
        <f t="shared" si="5"/>
        <v/>
      </c>
      <c r="S10" s="30" t="str">
        <f t="shared" si="6"/>
        <v/>
      </c>
      <c r="T10" s="31" t="str">
        <f t="shared" si="7"/>
        <v/>
      </c>
      <c r="U10" s="32" t="str">
        <f t="shared" si="8"/>
        <v/>
      </c>
      <c r="V10" s="33">
        <v>0</v>
      </c>
      <c r="W10" s="34" t="str">
        <f t="shared" si="9"/>
        <v/>
      </c>
      <c r="X10" s="35" t="str">
        <f ca="1">IFERROR(RealTime_Prediction!B4,"")</f>
        <v>⚠ No confident prediction</v>
      </c>
      <c r="Y10" s="36" t="str">
        <f t="shared" ca="1" si="10"/>
        <v/>
      </c>
    </row>
    <row r="11" spans="1:25" ht="23.25" customHeight="1" x14ac:dyDescent="0.2">
      <c r="A11" s="26"/>
      <c r="B11" s="26"/>
      <c r="C11" s="74"/>
      <c r="D11" s="74"/>
      <c r="E11" s="27" t="b">
        <f>FALSE()</f>
        <v>0</v>
      </c>
      <c r="F11" s="27" t="b">
        <f>FALSE()</f>
        <v>0</v>
      </c>
      <c r="G11" s="27" t="b">
        <f>FALSE()</f>
        <v>0</v>
      </c>
      <c r="H11" s="27" t="b">
        <f>FALSE()</f>
        <v>0</v>
      </c>
      <c r="I11" s="27" t="b">
        <f>FALSE()</f>
        <v>0</v>
      </c>
      <c r="J11" s="27" t="b">
        <f>FALSE()</f>
        <v>0</v>
      </c>
      <c r="K11" s="28"/>
      <c r="L11" s="29"/>
      <c r="M11" s="30" t="str">
        <f t="shared" si="0"/>
        <v/>
      </c>
      <c r="N11" s="30" t="str">
        <f t="shared" si="1"/>
        <v/>
      </c>
      <c r="O11" s="30" t="str">
        <f t="shared" si="2"/>
        <v/>
      </c>
      <c r="P11" s="30" t="str">
        <f t="shared" si="3"/>
        <v/>
      </c>
      <c r="Q11" s="30" t="str">
        <f t="shared" si="4"/>
        <v/>
      </c>
      <c r="R11" s="30" t="str">
        <f t="shared" si="5"/>
        <v/>
      </c>
      <c r="S11" s="30" t="str">
        <f t="shared" si="6"/>
        <v/>
      </c>
      <c r="T11" s="31" t="str">
        <f t="shared" si="7"/>
        <v/>
      </c>
      <c r="U11" s="32" t="str">
        <f t="shared" si="8"/>
        <v/>
      </c>
      <c r="V11" s="33">
        <v>0</v>
      </c>
      <c r="W11" s="34" t="str">
        <f t="shared" si="9"/>
        <v/>
      </c>
      <c r="X11" s="35" t="str">
        <f ca="1">IFERROR(RealTime_Prediction!B4,"")</f>
        <v>⚠ No confident prediction</v>
      </c>
      <c r="Y11" s="36" t="str">
        <f t="shared" ca="1" si="10"/>
        <v/>
      </c>
    </row>
    <row r="12" spans="1:25" ht="23.25" customHeight="1" x14ac:dyDescent="0.2">
      <c r="A12" s="26"/>
      <c r="B12" s="26"/>
      <c r="C12" s="74"/>
      <c r="D12" s="74"/>
      <c r="E12" s="27" t="b">
        <f>FALSE()</f>
        <v>0</v>
      </c>
      <c r="F12" s="27" t="b">
        <f>FALSE()</f>
        <v>0</v>
      </c>
      <c r="G12" s="27" t="b">
        <f>FALSE()</f>
        <v>0</v>
      </c>
      <c r="H12" s="27" t="b">
        <f>FALSE()</f>
        <v>0</v>
      </c>
      <c r="I12" s="27" t="b">
        <f>FALSE()</f>
        <v>0</v>
      </c>
      <c r="J12" s="27" t="b">
        <f>FALSE()</f>
        <v>0</v>
      </c>
      <c r="K12" s="28"/>
      <c r="L12" s="29"/>
      <c r="M12" s="30" t="str">
        <f t="shared" si="0"/>
        <v/>
      </c>
      <c r="N12" s="30" t="str">
        <f t="shared" si="1"/>
        <v/>
      </c>
      <c r="O12" s="30" t="str">
        <f t="shared" si="2"/>
        <v/>
      </c>
      <c r="P12" s="30" t="str">
        <f t="shared" si="3"/>
        <v/>
      </c>
      <c r="Q12" s="30" t="str">
        <f t="shared" si="4"/>
        <v/>
      </c>
      <c r="R12" s="30" t="str">
        <f t="shared" si="5"/>
        <v/>
      </c>
      <c r="S12" s="30" t="str">
        <f t="shared" si="6"/>
        <v/>
      </c>
      <c r="T12" s="31" t="str">
        <f t="shared" si="7"/>
        <v/>
      </c>
      <c r="U12" s="32" t="str">
        <f t="shared" si="8"/>
        <v/>
      </c>
      <c r="V12" s="33">
        <v>0</v>
      </c>
      <c r="W12" s="34" t="str">
        <f t="shared" si="9"/>
        <v/>
      </c>
      <c r="X12" s="35" t="str">
        <f ca="1">IFERROR(RealTime_Prediction!B4,"")</f>
        <v>⚠ No confident prediction</v>
      </c>
      <c r="Y12" s="36" t="str">
        <f t="shared" ca="1" si="10"/>
        <v/>
      </c>
    </row>
    <row r="13" spans="1:25" ht="23.25" customHeight="1" x14ac:dyDescent="0.2">
      <c r="A13" s="26"/>
      <c r="B13" s="26"/>
      <c r="C13" s="74"/>
      <c r="D13" s="74"/>
      <c r="E13" s="27" t="b">
        <f>FALSE()</f>
        <v>0</v>
      </c>
      <c r="F13" s="27" t="b">
        <f>FALSE()</f>
        <v>0</v>
      </c>
      <c r="G13" s="27" t="b">
        <f>FALSE()</f>
        <v>0</v>
      </c>
      <c r="H13" s="27" t="b">
        <f>FALSE()</f>
        <v>0</v>
      </c>
      <c r="I13" s="27" t="b">
        <f>FALSE()</f>
        <v>0</v>
      </c>
      <c r="J13" s="27" t="b">
        <f>FALSE()</f>
        <v>0</v>
      </c>
      <c r="K13" s="28"/>
      <c r="L13" s="29"/>
      <c r="M13" s="30" t="str">
        <f t="shared" si="0"/>
        <v/>
      </c>
      <c r="N13" s="30" t="str">
        <f t="shared" si="1"/>
        <v/>
      </c>
      <c r="O13" s="30" t="str">
        <f t="shared" si="2"/>
        <v/>
      </c>
      <c r="P13" s="30" t="str">
        <f t="shared" si="3"/>
        <v/>
      </c>
      <c r="Q13" s="30" t="str">
        <f t="shared" si="4"/>
        <v/>
      </c>
      <c r="R13" s="30" t="str">
        <f t="shared" si="5"/>
        <v/>
      </c>
      <c r="S13" s="30" t="str">
        <f t="shared" si="6"/>
        <v/>
      </c>
      <c r="T13" s="31" t="str">
        <f t="shared" si="7"/>
        <v/>
      </c>
      <c r="U13" s="32" t="str">
        <f t="shared" si="8"/>
        <v/>
      </c>
      <c r="V13" s="33">
        <v>0</v>
      </c>
      <c r="W13" s="34" t="str">
        <f t="shared" si="9"/>
        <v/>
      </c>
      <c r="X13" s="35" t="str">
        <f ca="1">IFERROR(RealTime_Prediction!B4,"")</f>
        <v>⚠ No confident prediction</v>
      </c>
      <c r="Y13" s="36" t="str">
        <f t="shared" ca="1" si="10"/>
        <v/>
      </c>
    </row>
    <row r="14" spans="1:25" ht="23.25" customHeight="1" x14ac:dyDescent="0.2">
      <c r="A14" s="26"/>
      <c r="B14" s="26"/>
      <c r="C14" s="74"/>
      <c r="D14" s="74"/>
      <c r="E14" s="27" t="b">
        <f>FALSE()</f>
        <v>0</v>
      </c>
      <c r="F14" s="27" t="b">
        <f>FALSE()</f>
        <v>0</v>
      </c>
      <c r="G14" s="27" t="b">
        <f>FALSE()</f>
        <v>0</v>
      </c>
      <c r="H14" s="27" t="b">
        <f>FALSE()</f>
        <v>0</v>
      </c>
      <c r="I14" s="27" t="b">
        <f>FALSE()</f>
        <v>0</v>
      </c>
      <c r="J14" s="27" t="b">
        <f>FALSE()</f>
        <v>0</v>
      </c>
      <c r="K14" s="28"/>
      <c r="L14" s="29"/>
      <c r="M14" s="30" t="str">
        <f t="shared" si="0"/>
        <v/>
      </c>
      <c r="N14" s="30" t="str">
        <f t="shared" si="1"/>
        <v/>
      </c>
      <c r="O14" s="30" t="str">
        <f t="shared" si="2"/>
        <v/>
      </c>
      <c r="P14" s="30" t="str">
        <f t="shared" si="3"/>
        <v/>
      </c>
      <c r="Q14" s="30" t="str">
        <f t="shared" si="4"/>
        <v/>
      </c>
      <c r="R14" s="30" t="str">
        <f t="shared" si="5"/>
        <v/>
      </c>
      <c r="S14" s="30" t="str">
        <f t="shared" si="6"/>
        <v/>
      </c>
      <c r="T14" s="31" t="str">
        <f t="shared" si="7"/>
        <v/>
      </c>
      <c r="U14" s="32" t="str">
        <f t="shared" si="8"/>
        <v/>
      </c>
      <c r="V14" s="33">
        <v>0</v>
      </c>
      <c r="W14" s="34" t="str">
        <f t="shared" si="9"/>
        <v/>
      </c>
      <c r="X14" s="35" t="str">
        <f ca="1">IFERROR(RealTime_Prediction!B4,"")</f>
        <v>⚠ No confident prediction</v>
      </c>
      <c r="Y14" s="36" t="str">
        <f t="shared" ca="1" si="10"/>
        <v/>
      </c>
    </row>
    <row r="15" spans="1:25" ht="23.25" customHeight="1" x14ac:dyDescent="0.2">
      <c r="A15" s="26"/>
      <c r="B15" s="26"/>
      <c r="C15" s="74"/>
      <c r="D15" s="74"/>
      <c r="E15" s="27" t="b">
        <f>FALSE()</f>
        <v>0</v>
      </c>
      <c r="F15" s="27" t="b">
        <f>FALSE()</f>
        <v>0</v>
      </c>
      <c r="G15" s="27" t="b">
        <f>FALSE()</f>
        <v>0</v>
      </c>
      <c r="H15" s="27" t="b">
        <f>FALSE()</f>
        <v>0</v>
      </c>
      <c r="I15" s="27" t="b">
        <f>FALSE()</f>
        <v>0</v>
      </c>
      <c r="J15" s="27" t="b">
        <f>FALSE()</f>
        <v>0</v>
      </c>
      <c r="K15" s="28"/>
      <c r="L15" s="29"/>
      <c r="M15" s="30" t="str">
        <f t="shared" si="0"/>
        <v/>
      </c>
      <c r="N15" s="30" t="str">
        <f t="shared" si="1"/>
        <v/>
      </c>
      <c r="O15" s="30" t="str">
        <f t="shared" si="2"/>
        <v/>
      </c>
      <c r="P15" s="30" t="str">
        <f t="shared" si="3"/>
        <v/>
      </c>
      <c r="Q15" s="30" t="str">
        <f t="shared" si="4"/>
        <v/>
      </c>
      <c r="R15" s="30" t="str">
        <f t="shared" si="5"/>
        <v/>
      </c>
      <c r="S15" s="30" t="str">
        <f t="shared" si="6"/>
        <v/>
      </c>
      <c r="T15" s="31" t="str">
        <f t="shared" si="7"/>
        <v/>
      </c>
      <c r="U15" s="32" t="str">
        <f t="shared" si="8"/>
        <v/>
      </c>
      <c r="V15" s="33">
        <v>0</v>
      </c>
      <c r="W15" s="34" t="str">
        <f t="shared" si="9"/>
        <v/>
      </c>
      <c r="X15" s="35" t="str">
        <f ca="1">IFERROR(RealTime_Prediction!B4,"")</f>
        <v>⚠ No confident prediction</v>
      </c>
      <c r="Y15" s="36" t="str">
        <f t="shared" ca="1" si="10"/>
        <v/>
      </c>
    </row>
    <row r="16" spans="1:25" ht="23.25" customHeight="1" x14ac:dyDescent="0.2">
      <c r="A16" s="26"/>
      <c r="B16" s="26"/>
      <c r="C16" s="74"/>
      <c r="D16" s="74"/>
      <c r="E16" s="27" t="b">
        <f>FALSE()</f>
        <v>0</v>
      </c>
      <c r="F16" s="27" t="b">
        <f>FALSE()</f>
        <v>0</v>
      </c>
      <c r="G16" s="27" t="b">
        <f>FALSE()</f>
        <v>0</v>
      </c>
      <c r="H16" s="27" t="b">
        <f>FALSE()</f>
        <v>0</v>
      </c>
      <c r="I16" s="27" t="b">
        <f>FALSE()</f>
        <v>0</v>
      </c>
      <c r="J16" s="27" t="b">
        <f>FALSE()</f>
        <v>0</v>
      </c>
      <c r="K16" s="28"/>
      <c r="L16" s="29"/>
      <c r="M16" s="30" t="str">
        <f t="shared" si="0"/>
        <v/>
      </c>
      <c r="N16" s="30" t="str">
        <f t="shared" si="1"/>
        <v/>
      </c>
      <c r="O16" s="30" t="str">
        <f t="shared" si="2"/>
        <v/>
      </c>
      <c r="P16" s="30" t="str">
        <f t="shared" si="3"/>
        <v/>
      </c>
      <c r="Q16" s="30" t="str">
        <f t="shared" si="4"/>
        <v/>
      </c>
      <c r="R16" s="30" t="str">
        <f t="shared" si="5"/>
        <v/>
      </c>
      <c r="S16" s="30" t="str">
        <f t="shared" si="6"/>
        <v/>
      </c>
      <c r="T16" s="31" t="str">
        <f t="shared" si="7"/>
        <v/>
      </c>
      <c r="U16" s="32" t="str">
        <f t="shared" si="8"/>
        <v/>
      </c>
      <c r="V16" s="33">
        <v>0</v>
      </c>
      <c r="W16" s="34" t="str">
        <f t="shared" si="9"/>
        <v/>
      </c>
      <c r="X16" s="35" t="str">
        <f ca="1">IFERROR(RealTime_Prediction!B4,"")</f>
        <v>⚠ No confident prediction</v>
      </c>
      <c r="Y16" s="36" t="str">
        <f t="shared" ca="1" si="10"/>
        <v/>
      </c>
    </row>
    <row r="17" spans="1:25" ht="23.25" customHeight="1" x14ac:dyDescent="0.2">
      <c r="A17" s="26"/>
      <c r="B17" s="26"/>
      <c r="C17" s="74"/>
      <c r="D17" s="74"/>
      <c r="E17" s="27" t="b">
        <f>FALSE()</f>
        <v>0</v>
      </c>
      <c r="F17" s="27" t="b">
        <f>FALSE()</f>
        <v>0</v>
      </c>
      <c r="G17" s="27" t="b">
        <f>FALSE()</f>
        <v>0</v>
      </c>
      <c r="H17" s="27" t="b">
        <f>FALSE()</f>
        <v>0</v>
      </c>
      <c r="I17" s="27" t="b">
        <f>FALSE()</f>
        <v>0</v>
      </c>
      <c r="J17" s="27" t="b">
        <f>FALSE()</f>
        <v>0</v>
      </c>
      <c r="K17" s="28"/>
      <c r="L17" s="29"/>
      <c r="M17" s="30" t="str">
        <f t="shared" si="0"/>
        <v/>
      </c>
      <c r="N17" s="30" t="str">
        <f t="shared" si="1"/>
        <v/>
      </c>
      <c r="O17" s="30" t="str">
        <f t="shared" si="2"/>
        <v/>
      </c>
      <c r="P17" s="30" t="str">
        <f t="shared" si="3"/>
        <v/>
      </c>
      <c r="Q17" s="30" t="str">
        <f t="shared" si="4"/>
        <v/>
      </c>
      <c r="R17" s="30" t="str">
        <f t="shared" si="5"/>
        <v/>
      </c>
      <c r="S17" s="30" t="str">
        <f t="shared" si="6"/>
        <v/>
      </c>
      <c r="T17" s="31" t="str">
        <f t="shared" si="7"/>
        <v/>
      </c>
      <c r="U17" s="32" t="str">
        <f t="shared" si="8"/>
        <v/>
      </c>
      <c r="V17" s="33">
        <v>0</v>
      </c>
      <c r="W17" s="34" t="str">
        <f t="shared" si="9"/>
        <v/>
      </c>
      <c r="X17" s="35" t="str">
        <f ca="1">IFERROR(RealTime_Prediction!B4,"")</f>
        <v>⚠ No confident prediction</v>
      </c>
      <c r="Y17" s="36" t="str">
        <f t="shared" ca="1" si="10"/>
        <v/>
      </c>
    </row>
    <row r="18" spans="1:25" ht="23.25" customHeight="1" x14ac:dyDescent="0.2">
      <c r="A18" s="26"/>
      <c r="B18" s="26"/>
      <c r="C18" s="74"/>
      <c r="D18" s="74"/>
      <c r="E18" s="27" t="b">
        <f>FALSE()</f>
        <v>0</v>
      </c>
      <c r="F18" s="27" t="b">
        <f>FALSE()</f>
        <v>0</v>
      </c>
      <c r="G18" s="27" t="b">
        <f>FALSE()</f>
        <v>0</v>
      </c>
      <c r="H18" s="27" t="b">
        <f>FALSE()</f>
        <v>0</v>
      </c>
      <c r="I18" s="27" t="b">
        <f>FALSE()</f>
        <v>0</v>
      </c>
      <c r="J18" s="27" t="b">
        <f>FALSE()</f>
        <v>0</v>
      </c>
      <c r="K18" s="28"/>
      <c r="L18" s="29"/>
      <c r="M18" s="30" t="str">
        <f t="shared" si="0"/>
        <v/>
      </c>
      <c r="N18" s="30" t="str">
        <f t="shared" si="1"/>
        <v/>
      </c>
      <c r="O18" s="30" t="str">
        <f t="shared" si="2"/>
        <v/>
      </c>
      <c r="P18" s="30" t="str">
        <f t="shared" si="3"/>
        <v/>
      </c>
      <c r="Q18" s="30" t="str">
        <f t="shared" si="4"/>
        <v/>
      </c>
      <c r="R18" s="30" t="str">
        <f t="shared" si="5"/>
        <v/>
      </c>
      <c r="S18" s="30" t="str">
        <f t="shared" si="6"/>
        <v/>
      </c>
      <c r="T18" s="31" t="str">
        <f t="shared" si="7"/>
        <v/>
      </c>
      <c r="U18" s="32" t="str">
        <f t="shared" si="8"/>
        <v/>
      </c>
      <c r="V18" s="33">
        <v>0</v>
      </c>
      <c r="W18" s="34" t="str">
        <f t="shared" si="9"/>
        <v/>
      </c>
      <c r="X18" s="35" t="str">
        <f ca="1">IFERROR(RealTime_Prediction!B4,"")</f>
        <v>⚠ No confident prediction</v>
      </c>
      <c r="Y18" s="36" t="str">
        <f t="shared" ca="1" si="10"/>
        <v/>
      </c>
    </row>
    <row r="19" spans="1:25" ht="23.25" customHeight="1" x14ac:dyDescent="0.2">
      <c r="A19" s="26"/>
      <c r="B19" s="26"/>
      <c r="C19" s="74"/>
      <c r="D19" s="74"/>
      <c r="E19" s="27" t="b">
        <f>FALSE()</f>
        <v>0</v>
      </c>
      <c r="F19" s="27" t="b">
        <f>FALSE()</f>
        <v>0</v>
      </c>
      <c r="G19" s="27" t="b">
        <f>FALSE()</f>
        <v>0</v>
      </c>
      <c r="H19" s="27" t="b">
        <f>FALSE()</f>
        <v>0</v>
      </c>
      <c r="I19" s="27" t="b">
        <f>FALSE()</f>
        <v>0</v>
      </c>
      <c r="J19" s="27" t="b">
        <f>FALSE()</f>
        <v>0</v>
      </c>
      <c r="K19" s="28"/>
      <c r="L19" s="29"/>
      <c r="M19" s="30" t="str">
        <f t="shared" si="0"/>
        <v/>
      </c>
      <c r="N19" s="30" t="str">
        <f t="shared" si="1"/>
        <v/>
      </c>
      <c r="O19" s="30" t="str">
        <f t="shared" si="2"/>
        <v/>
      </c>
      <c r="P19" s="30" t="str">
        <f t="shared" si="3"/>
        <v/>
      </c>
      <c r="Q19" s="30" t="str">
        <f t="shared" si="4"/>
        <v/>
      </c>
      <c r="R19" s="30" t="str">
        <f t="shared" si="5"/>
        <v/>
      </c>
      <c r="S19" s="30" t="str">
        <f t="shared" si="6"/>
        <v/>
      </c>
      <c r="T19" s="31" t="str">
        <f t="shared" si="7"/>
        <v/>
      </c>
      <c r="U19" s="32" t="str">
        <f t="shared" si="8"/>
        <v/>
      </c>
      <c r="V19" s="33">
        <v>0</v>
      </c>
      <c r="W19" s="34" t="str">
        <f t="shared" si="9"/>
        <v/>
      </c>
      <c r="X19" s="35" t="str">
        <f ca="1">IFERROR(RealTime_Prediction!B4,"")</f>
        <v>⚠ No confident prediction</v>
      </c>
      <c r="Y19" s="36" t="str">
        <f t="shared" ca="1" si="10"/>
        <v/>
      </c>
    </row>
    <row r="20" spans="1:25" ht="23.25" customHeight="1" x14ac:dyDescent="0.2">
      <c r="A20" s="26"/>
      <c r="B20" s="26"/>
      <c r="C20" s="74"/>
      <c r="D20" s="74"/>
      <c r="E20" s="27" t="b">
        <f>FALSE()</f>
        <v>0</v>
      </c>
      <c r="F20" s="27" t="b">
        <f>FALSE()</f>
        <v>0</v>
      </c>
      <c r="G20" s="27" t="b">
        <f>FALSE()</f>
        <v>0</v>
      </c>
      <c r="H20" s="27" t="b">
        <f>FALSE()</f>
        <v>0</v>
      </c>
      <c r="I20" s="27" t="b">
        <f>FALSE()</f>
        <v>0</v>
      </c>
      <c r="J20" s="27" t="b">
        <f>FALSE()</f>
        <v>0</v>
      </c>
      <c r="K20" s="28"/>
      <c r="L20" s="29"/>
      <c r="M20" s="30" t="str">
        <f t="shared" si="0"/>
        <v/>
      </c>
      <c r="N20" s="30" t="str">
        <f t="shared" si="1"/>
        <v/>
      </c>
      <c r="O20" s="30" t="str">
        <f t="shared" si="2"/>
        <v/>
      </c>
      <c r="P20" s="30" t="str">
        <f t="shared" si="3"/>
        <v/>
      </c>
      <c r="Q20" s="30" t="str">
        <f t="shared" si="4"/>
        <v/>
      </c>
      <c r="R20" s="30" t="str">
        <f t="shared" si="5"/>
        <v/>
      </c>
      <c r="S20" s="30" t="str">
        <f t="shared" si="6"/>
        <v/>
      </c>
      <c r="T20" s="31" t="str">
        <f t="shared" si="7"/>
        <v/>
      </c>
      <c r="U20" s="32" t="str">
        <f t="shared" si="8"/>
        <v/>
      </c>
      <c r="V20" s="33">
        <v>0</v>
      </c>
      <c r="W20" s="34" t="str">
        <f t="shared" si="9"/>
        <v/>
      </c>
      <c r="X20" s="35" t="str">
        <f ca="1">IFERROR(RealTime_Prediction!B4,"")</f>
        <v>⚠ No confident prediction</v>
      </c>
      <c r="Y20" s="36" t="str">
        <f t="shared" ca="1" si="10"/>
        <v/>
      </c>
    </row>
    <row r="21" spans="1:25" ht="23.25" customHeight="1" x14ac:dyDescent="0.2">
      <c r="A21" s="26"/>
      <c r="B21" s="26"/>
      <c r="C21" s="74"/>
      <c r="D21" s="74"/>
      <c r="E21" s="27" t="b">
        <f>FALSE()</f>
        <v>0</v>
      </c>
      <c r="F21" s="27" t="b">
        <f>FALSE()</f>
        <v>0</v>
      </c>
      <c r="G21" s="27" t="b">
        <f>FALSE()</f>
        <v>0</v>
      </c>
      <c r="H21" s="27" t="b">
        <f>FALSE()</f>
        <v>0</v>
      </c>
      <c r="I21" s="27" t="b">
        <f>FALSE()</f>
        <v>0</v>
      </c>
      <c r="J21" s="27" t="b">
        <f>FALSE()</f>
        <v>0</v>
      </c>
      <c r="K21" s="28"/>
      <c r="L21" s="29"/>
      <c r="M21" s="30" t="str">
        <f t="shared" si="0"/>
        <v/>
      </c>
      <c r="N21" s="30" t="str">
        <f t="shared" si="1"/>
        <v/>
      </c>
      <c r="O21" s="30" t="str">
        <f t="shared" si="2"/>
        <v/>
      </c>
      <c r="P21" s="30" t="str">
        <f t="shared" si="3"/>
        <v/>
      </c>
      <c r="Q21" s="30" t="str">
        <f t="shared" si="4"/>
        <v/>
      </c>
      <c r="R21" s="30" t="str">
        <f t="shared" si="5"/>
        <v/>
      </c>
      <c r="S21" s="30" t="str">
        <f t="shared" si="6"/>
        <v/>
      </c>
      <c r="T21" s="31" t="str">
        <f t="shared" si="7"/>
        <v/>
      </c>
      <c r="U21" s="32" t="str">
        <f t="shared" si="8"/>
        <v/>
      </c>
      <c r="V21" s="33">
        <v>0</v>
      </c>
      <c r="W21" s="34" t="str">
        <f t="shared" si="9"/>
        <v/>
      </c>
      <c r="X21" s="35" t="str">
        <f ca="1">IFERROR(RealTime_Prediction!B4,"")</f>
        <v>⚠ No confident prediction</v>
      </c>
      <c r="Y21" s="36" t="str">
        <f t="shared" ca="1" si="10"/>
        <v/>
      </c>
    </row>
    <row r="22" spans="1:25" ht="23.25" customHeight="1" x14ac:dyDescent="0.2">
      <c r="A22" s="26"/>
      <c r="B22" s="26"/>
      <c r="C22" s="74"/>
      <c r="D22" s="74"/>
      <c r="E22" s="27" t="b">
        <f>FALSE()</f>
        <v>0</v>
      </c>
      <c r="F22" s="27" t="b">
        <f>FALSE()</f>
        <v>0</v>
      </c>
      <c r="G22" s="27" t="b">
        <f>FALSE()</f>
        <v>0</v>
      </c>
      <c r="H22" s="27" t="b">
        <f>FALSE()</f>
        <v>0</v>
      </c>
      <c r="I22" s="27" t="b">
        <f>FALSE()</f>
        <v>0</v>
      </c>
      <c r="J22" s="27" t="b">
        <f>FALSE()</f>
        <v>0</v>
      </c>
      <c r="K22" s="28"/>
      <c r="L22" s="29"/>
      <c r="M22" s="30" t="str">
        <f t="shared" si="0"/>
        <v/>
      </c>
      <c r="N22" s="30" t="str">
        <f t="shared" si="1"/>
        <v/>
      </c>
      <c r="O22" s="30" t="str">
        <f t="shared" si="2"/>
        <v/>
      </c>
      <c r="P22" s="30" t="str">
        <f t="shared" si="3"/>
        <v/>
      </c>
      <c r="Q22" s="30" t="str">
        <f t="shared" si="4"/>
        <v/>
      </c>
      <c r="R22" s="30" t="str">
        <f t="shared" si="5"/>
        <v/>
      </c>
      <c r="S22" s="30" t="str">
        <f t="shared" si="6"/>
        <v/>
      </c>
      <c r="T22" s="31" t="str">
        <f t="shared" si="7"/>
        <v/>
      </c>
      <c r="U22" s="32" t="str">
        <f t="shared" si="8"/>
        <v/>
      </c>
      <c r="V22" s="33">
        <v>0</v>
      </c>
      <c r="W22" s="34" t="str">
        <f t="shared" si="9"/>
        <v/>
      </c>
      <c r="X22" s="35" t="str">
        <f ca="1">IFERROR(RealTime_Prediction!B4,"")</f>
        <v>⚠ No confident prediction</v>
      </c>
      <c r="Y22" s="36" t="str">
        <f t="shared" ca="1" si="10"/>
        <v/>
      </c>
    </row>
    <row r="23" spans="1:25" ht="23.25" customHeight="1" x14ac:dyDescent="0.2">
      <c r="A23" s="26"/>
      <c r="B23" s="26"/>
      <c r="C23" s="74"/>
      <c r="D23" s="74"/>
      <c r="E23" s="27" t="b">
        <f>FALSE()</f>
        <v>0</v>
      </c>
      <c r="F23" s="27" t="b">
        <f>FALSE()</f>
        <v>0</v>
      </c>
      <c r="G23" s="27" t="b">
        <f>FALSE()</f>
        <v>0</v>
      </c>
      <c r="H23" s="27" t="b">
        <f>FALSE()</f>
        <v>0</v>
      </c>
      <c r="I23" s="27" t="b">
        <f>FALSE()</f>
        <v>0</v>
      </c>
      <c r="J23" s="27" t="b">
        <f>FALSE()</f>
        <v>0</v>
      </c>
      <c r="K23" s="28"/>
      <c r="L23" s="29"/>
      <c r="M23" s="30" t="str">
        <f t="shared" si="0"/>
        <v/>
      </c>
      <c r="N23" s="30" t="str">
        <f t="shared" si="1"/>
        <v/>
      </c>
      <c r="O23" s="30" t="str">
        <f t="shared" si="2"/>
        <v/>
      </c>
      <c r="P23" s="30" t="str">
        <f t="shared" si="3"/>
        <v/>
      </c>
      <c r="Q23" s="30" t="str">
        <f t="shared" si="4"/>
        <v/>
      </c>
      <c r="R23" s="30" t="str">
        <f t="shared" si="5"/>
        <v/>
      </c>
      <c r="S23" s="30" t="str">
        <f t="shared" si="6"/>
        <v/>
      </c>
      <c r="T23" s="31" t="str">
        <f t="shared" si="7"/>
        <v/>
      </c>
      <c r="U23" s="32" t="str">
        <f t="shared" si="8"/>
        <v/>
      </c>
      <c r="V23" s="33">
        <v>0</v>
      </c>
      <c r="W23" s="34" t="str">
        <f t="shared" si="9"/>
        <v/>
      </c>
      <c r="X23" s="35" t="str">
        <f ca="1">IFERROR(RealTime_Prediction!B4,"")</f>
        <v>⚠ No confident prediction</v>
      </c>
      <c r="Y23" s="36" t="str">
        <f t="shared" ca="1" si="10"/>
        <v/>
      </c>
    </row>
    <row r="24" spans="1:25" ht="23.25" customHeight="1" x14ac:dyDescent="0.2">
      <c r="A24" s="26"/>
      <c r="B24" s="26"/>
      <c r="C24" s="74"/>
      <c r="D24" s="74"/>
      <c r="E24" s="27" t="b">
        <f>FALSE()</f>
        <v>0</v>
      </c>
      <c r="F24" s="27" t="b">
        <f>FALSE()</f>
        <v>0</v>
      </c>
      <c r="G24" s="27" t="b">
        <f>FALSE()</f>
        <v>0</v>
      </c>
      <c r="H24" s="27" t="b">
        <f>FALSE()</f>
        <v>0</v>
      </c>
      <c r="I24" s="27" t="b">
        <f>FALSE()</f>
        <v>0</v>
      </c>
      <c r="J24" s="27" t="b">
        <f>FALSE()</f>
        <v>0</v>
      </c>
      <c r="K24" s="28"/>
      <c r="L24" s="29"/>
      <c r="M24" s="30" t="str">
        <f t="shared" si="0"/>
        <v/>
      </c>
      <c r="N24" s="30" t="str">
        <f t="shared" si="1"/>
        <v/>
      </c>
      <c r="O24" s="30" t="str">
        <f t="shared" si="2"/>
        <v/>
      </c>
      <c r="P24" s="30" t="str">
        <f t="shared" si="3"/>
        <v/>
      </c>
      <c r="Q24" s="30" t="str">
        <f t="shared" si="4"/>
        <v/>
      </c>
      <c r="R24" s="30" t="str">
        <f t="shared" si="5"/>
        <v/>
      </c>
      <c r="S24" s="30" t="str">
        <f t="shared" si="6"/>
        <v/>
      </c>
      <c r="T24" s="31" t="str">
        <f t="shared" si="7"/>
        <v/>
      </c>
      <c r="U24" s="32" t="str">
        <f t="shared" si="8"/>
        <v/>
      </c>
      <c r="V24" s="33">
        <v>0</v>
      </c>
      <c r="W24" s="34" t="str">
        <f t="shared" si="9"/>
        <v/>
      </c>
      <c r="X24" s="35" t="str">
        <f ca="1">IFERROR(RealTime_Prediction!B4,"")</f>
        <v>⚠ No confident prediction</v>
      </c>
      <c r="Y24" s="36" t="str">
        <f t="shared" ca="1" si="10"/>
        <v/>
      </c>
    </row>
    <row r="25" spans="1:25" ht="23.25" customHeight="1" x14ac:dyDescent="0.2">
      <c r="A25" s="26"/>
      <c r="B25" s="26"/>
      <c r="C25" s="74"/>
      <c r="D25" s="74"/>
      <c r="E25" s="27" t="b">
        <f>FALSE()</f>
        <v>0</v>
      </c>
      <c r="F25" s="27" t="b">
        <f>FALSE()</f>
        <v>0</v>
      </c>
      <c r="G25" s="27" t="b">
        <f>FALSE()</f>
        <v>0</v>
      </c>
      <c r="H25" s="27" t="b">
        <f>FALSE()</f>
        <v>0</v>
      </c>
      <c r="I25" s="27" t="b">
        <f>FALSE()</f>
        <v>0</v>
      </c>
      <c r="J25" s="27" t="b">
        <f>FALSE()</f>
        <v>0</v>
      </c>
      <c r="K25" s="28"/>
      <c r="L25" s="29"/>
      <c r="M25" s="30" t="str">
        <f t="shared" si="0"/>
        <v/>
      </c>
      <c r="N25" s="30" t="str">
        <f t="shared" si="1"/>
        <v/>
      </c>
      <c r="O25" s="30" t="str">
        <f t="shared" si="2"/>
        <v/>
      </c>
      <c r="P25" s="30" t="str">
        <f t="shared" si="3"/>
        <v/>
      </c>
      <c r="Q25" s="30" t="str">
        <f t="shared" si="4"/>
        <v/>
      </c>
      <c r="R25" s="30" t="str">
        <f t="shared" si="5"/>
        <v/>
      </c>
      <c r="S25" s="30" t="str">
        <f t="shared" si="6"/>
        <v/>
      </c>
      <c r="T25" s="31" t="str">
        <f t="shared" si="7"/>
        <v/>
      </c>
      <c r="U25" s="32" t="str">
        <f t="shared" si="8"/>
        <v/>
      </c>
      <c r="V25" s="33">
        <v>0</v>
      </c>
      <c r="W25" s="34" t="str">
        <f t="shared" si="9"/>
        <v/>
      </c>
      <c r="X25" s="35" t="str">
        <f ca="1">IFERROR(RealTime_Prediction!B4,"")</f>
        <v>⚠ No confident prediction</v>
      </c>
      <c r="Y25" s="36" t="str">
        <f t="shared" ca="1" si="10"/>
        <v/>
      </c>
    </row>
    <row r="26" spans="1:25" ht="23.25" customHeight="1" x14ac:dyDescent="0.2">
      <c r="A26" s="26"/>
      <c r="B26" s="26"/>
      <c r="C26" s="74"/>
      <c r="D26" s="74"/>
      <c r="E26" s="27" t="b">
        <f>FALSE()</f>
        <v>0</v>
      </c>
      <c r="F26" s="27" t="b">
        <f>FALSE()</f>
        <v>0</v>
      </c>
      <c r="G26" s="27" t="b">
        <f>FALSE()</f>
        <v>0</v>
      </c>
      <c r="H26" s="27" t="b">
        <f>FALSE()</f>
        <v>0</v>
      </c>
      <c r="I26" s="27" t="b">
        <f>FALSE()</f>
        <v>0</v>
      </c>
      <c r="J26" s="27" t="b">
        <f>FALSE()</f>
        <v>0</v>
      </c>
      <c r="K26" s="28"/>
      <c r="L26" s="29"/>
      <c r="M26" s="30" t="str">
        <f t="shared" si="0"/>
        <v/>
      </c>
      <c r="N26" s="30" t="str">
        <f t="shared" si="1"/>
        <v/>
      </c>
      <c r="O26" s="30" t="str">
        <f t="shared" si="2"/>
        <v/>
      </c>
      <c r="P26" s="30" t="str">
        <f t="shared" si="3"/>
        <v/>
      </c>
      <c r="Q26" s="30" t="str">
        <f t="shared" si="4"/>
        <v/>
      </c>
      <c r="R26" s="30" t="str">
        <f t="shared" si="5"/>
        <v/>
      </c>
      <c r="S26" s="30" t="str">
        <f t="shared" si="6"/>
        <v/>
      </c>
      <c r="T26" s="31" t="str">
        <f t="shared" si="7"/>
        <v/>
      </c>
      <c r="U26" s="32" t="str">
        <f t="shared" si="8"/>
        <v/>
      </c>
      <c r="V26" s="33">
        <v>0</v>
      </c>
      <c r="W26" s="34" t="str">
        <f t="shared" si="9"/>
        <v/>
      </c>
      <c r="X26" s="35" t="str">
        <f ca="1">IFERROR(RealTime_Prediction!B4,"")</f>
        <v>⚠ No confident prediction</v>
      </c>
      <c r="Y26" s="36" t="str">
        <f t="shared" ca="1" si="10"/>
        <v/>
      </c>
    </row>
    <row r="27" spans="1:25" ht="23.25" customHeight="1" x14ac:dyDescent="0.2">
      <c r="A27" s="26"/>
      <c r="B27" s="26"/>
      <c r="C27" s="74"/>
      <c r="D27" s="74"/>
      <c r="E27" s="27" t="b">
        <f>FALSE()</f>
        <v>0</v>
      </c>
      <c r="F27" s="27" t="b">
        <f>FALSE()</f>
        <v>0</v>
      </c>
      <c r="G27" s="27" t="b">
        <f>FALSE()</f>
        <v>0</v>
      </c>
      <c r="H27" s="27" t="b">
        <f>FALSE()</f>
        <v>0</v>
      </c>
      <c r="I27" s="27" t="b">
        <f>FALSE()</f>
        <v>0</v>
      </c>
      <c r="J27" s="27" t="b">
        <f>FALSE()</f>
        <v>0</v>
      </c>
      <c r="K27" s="28"/>
      <c r="L27" s="29"/>
      <c r="M27" s="30" t="str">
        <f t="shared" si="0"/>
        <v/>
      </c>
      <c r="N27" s="30" t="str">
        <f t="shared" si="1"/>
        <v/>
      </c>
      <c r="O27" s="30" t="str">
        <f t="shared" si="2"/>
        <v/>
      </c>
      <c r="P27" s="30" t="str">
        <f t="shared" si="3"/>
        <v/>
      </c>
      <c r="Q27" s="30" t="str">
        <f t="shared" si="4"/>
        <v/>
      </c>
      <c r="R27" s="30" t="str">
        <f t="shared" si="5"/>
        <v/>
      </c>
      <c r="S27" s="30" t="str">
        <f t="shared" si="6"/>
        <v/>
      </c>
      <c r="T27" s="31" t="str">
        <f t="shared" si="7"/>
        <v/>
      </c>
      <c r="U27" s="32" t="str">
        <f t="shared" si="8"/>
        <v/>
      </c>
      <c r="V27" s="33">
        <v>0</v>
      </c>
      <c r="W27" s="34" t="str">
        <f t="shared" si="9"/>
        <v/>
      </c>
      <c r="X27" s="35" t="str">
        <f ca="1">IFERROR(RealTime_Prediction!B4,"")</f>
        <v>⚠ No confident prediction</v>
      </c>
      <c r="Y27" s="36" t="str">
        <f t="shared" ca="1" si="10"/>
        <v/>
      </c>
    </row>
    <row r="28" spans="1:25" ht="23.25" customHeight="1" x14ac:dyDescent="0.2">
      <c r="A28" s="26"/>
      <c r="B28" s="26"/>
      <c r="C28" s="74"/>
      <c r="D28" s="74"/>
      <c r="E28" s="27" t="b">
        <f>FALSE()</f>
        <v>0</v>
      </c>
      <c r="F28" s="27" t="b">
        <f>FALSE()</f>
        <v>0</v>
      </c>
      <c r="G28" s="27" t="b">
        <f>FALSE()</f>
        <v>0</v>
      </c>
      <c r="H28" s="27" t="b">
        <f>FALSE()</f>
        <v>0</v>
      </c>
      <c r="I28" s="27" t="b">
        <f>FALSE()</f>
        <v>0</v>
      </c>
      <c r="J28" s="27" t="b">
        <f>FALSE()</f>
        <v>0</v>
      </c>
      <c r="K28" s="28"/>
      <c r="L28" s="29"/>
      <c r="M28" s="30" t="str">
        <f t="shared" si="0"/>
        <v/>
      </c>
      <c r="N28" s="30" t="str">
        <f t="shared" si="1"/>
        <v/>
      </c>
      <c r="O28" s="30" t="str">
        <f t="shared" si="2"/>
        <v/>
      </c>
      <c r="P28" s="30" t="str">
        <f t="shared" si="3"/>
        <v/>
      </c>
      <c r="Q28" s="30" t="str">
        <f t="shared" si="4"/>
        <v/>
      </c>
      <c r="R28" s="30" t="str">
        <f t="shared" si="5"/>
        <v/>
      </c>
      <c r="S28" s="30" t="str">
        <f t="shared" si="6"/>
        <v/>
      </c>
      <c r="T28" s="31" t="str">
        <f t="shared" si="7"/>
        <v/>
      </c>
      <c r="U28" s="32" t="str">
        <f t="shared" si="8"/>
        <v/>
      </c>
      <c r="V28" s="33">
        <v>0</v>
      </c>
      <c r="W28" s="34" t="str">
        <f t="shared" si="9"/>
        <v/>
      </c>
      <c r="X28" s="35" t="str">
        <f ca="1">IFERROR(RealTime_Prediction!B4,"")</f>
        <v>⚠ No confident prediction</v>
      </c>
      <c r="Y28" s="36" t="str">
        <f t="shared" ca="1" si="10"/>
        <v/>
      </c>
    </row>
    <row r="29" spans="1:25" ht="23.25" customHeight="1" x14ac:dyDescent="0.2">
      <c r="A29" s="26"/>
      <c r="B29" s="26"/>
      <c r="C29" s="74"/>
      <c r="D29" s="74"/>
      <c r="E29" s="27" t="b">
        <f>FALSE()</f>
        <v>0</v>
      </c>
      <c r="F29" s="27" t="b">
        <f>FALSE()</f>
        <v>0</v>
      </c>
      <c r="G29" s="27" t="b">
        <f>FALSE()</f>
        <v>0</v>
      </c>
      <c r="H29" s="27" t="b">
        <f>FALSE()</f>
        <v>0</v>
      </c>
      <c r="I29" s="27" t="b">
        <f>FALSE()</f>
        <v>0</v>
      </c>
      <c r="J29" s="27" t="b">
        <f>FALSE()</f>
        <v>0</v>
      </c>
      <c r="K29" s="28"/>
      <c r="L29" s="29"/>
      <c r="M29" s="30" t="str">
        <f t="shared" si="0"/>
        <v/>
      </c>
      <c r="N29" s="30" t="str">
        <f t="shared" si="1"/>
        <v/>
      </c>
      <c r="O29" s="30" t="str">
        <f t="shared" si="2"/>
        <v/>
      </c>
      <c r="P29" s="30" t="str">
        <f t="shared" si="3"/>
        <v/>
      </c>
      <c r="Q29" s="30" t="str">
        <f t="shared" si="4"/>
        <v/>
      </c>
      <c r="R29" s="30" t="str">
        <f t="shared" si="5"/>
        <v/>
      </c>
      <c r="S29" s="30" t="str">
        <f t="shared" si="6"/>
        <v/>
      </c>
      <c r="T29" s="31" t="str">
        <f t="shared" si="7"/>
        <v/>
      </c>
      <c r="U29" s="32" t="str">
        <f t="shared" si="8"/>
        <v/>
      </c>
      <c r="V29" s="33">
        <v>0</v>
      </c>
      <c r="W29" s="34" t="str">
        <f t="shared" si="9"/>
        <v/>
      </c>
      <c r="X29" s="35" t="str">
        <f ca="1">IFERROR(RealTime_Prediction!B4,"")</f>
        <v>⚠ No confident prediction</v>
      </c>
      <c r="Y29" s="36" t="str">
        <f t="shared" ca="1" si="10"/>
        <v/>
      </c>
    </row>
    <row r="30" spans="1:25" ht="23.25" customHeight="1" x14ac:dyDescent="0.2">
      <c r="A30" s="26"/>
      <c r="B30" s="26"/>
      <c r="C30" s="74"/>
      <c r="D30" s="74"/>
      <c r="E30" s="27" t="b">
        <f>FALSE()</f>
        <v>0</v>
      </c>
      <c r="F30" s="27" t="b">
        <f>FALSE()</f>
        <v>0</v>
      </c>
      <c r="G30" s="27" t="b">
        <f>FALSE()</f>
        <v>0</v>
      </c>
      <c r="H30" s="27" t="b">
        <f>FALSE()</f>
        <v>0</v>
      </c>
      <c r="I30" s="27" t="b">
        <f>FALSE()</f>
        <v>0</v>
      </c>
      <c r="J30" s="27" t="b">
        <f>FALSE()</f>
        <v>0</v>
      </c>
      <c r="K30" s="28"/>
      <c r="L30" s="29"/>
      <c r="M30" s="30" t="str">
        <f t="shared" si="0"/>
        <v/>
      </c>
      <c r="N30" s="30" t="str">
        <f t="shared" si="1"/>
        <v/>
      </c>
      <c r="O30" s="30" t="str">
        <f t="shared" si="2"/>
        <v/>
      </c>
      <c r="P30" s="30" t="str">
        <f t="shared" si="3"/>
        <v/>
      </c>
      <c r="Q30" s="30" t="str">
        <f t="shared" si="4"/>
        <v/>
      </c>
      <c r="R30" s="30" t="str">
        <f t="shared" si="5"/>
        <v/>
      </c>
      <c r="S30" s="30" t="str">
        <f t="shared" si="6"/>
        <v/>
      </c>
      <c r="T30" s="31" t="str">
        <f t="shared" si="7"/>
        <v/>
      </c>
      <c r="U30" s="32" t="str">
        <f t="shared" si="8"/>
        <v/>
      </c>
      <c r="V30" s="33">
        <v>0</v>
      </c>
      <c r="W30" s="34" t="str">
        <f t="shared" si="9"/>
        <v/>
      </c>
      <c r="X30" s="35" t="str">
        <f ca="1">IFERROR(RealTime_Prediction!B4,"")</f>
        <v>⚠ No confident prediction</v>
      </c>
      <c r="Y30" s="36" t="str">
        <f t="shared" ca="1" si="10"/>
        <v/>
      </c>
    </row>
    <row r="31" spans="1:25" ht="23.25" customHeight="1" x14ac:dyDescent="0.2">
      <c r="A31" s="26"/>
      <c r="B31" s="26"/>
      <c r="C31" s="74"/>
      <c r="D31" s="74"/>
      <c r="E31" s="27" t="b">
        <f>FALSE()</f>
        <v>0</v>
      </c>
      <c r="F31" s="27" t="b">
        <f>FALSE()</f>
        <v>0</v>
      </c>
      <c r="G31" s="27" t="b">
        <f>FALSE()</f>
        <v>0</v>
      </c>
      <c r="H31" s="27" t="b">
        <f>FALSE()</f>
        <v>0</v>
      </c>
      <c r="I31" s="27" t="b">
        <f>FALSE()</f>
        <v>0</v>
      </c>
      <c r="J31" s="27" t="b">
        <f>FALSE()</f>
        <v>0</v>
      </c>
      <c r="K31" s="28"/>
      <c r="L31" s="29"/>
      <c r="M31" s="30" t="str">
        <f t="shared" si="0"/>
        <v/>
      </c>
      <c r="N31" s="30" t="str">
        <f t="shared" si="1"/>
        <v/>
      </c>
      <c r="O31" s="30" t="str">
        <f t="shared" si="2"/>
        <v/>
      </c>
      <c r="P31" s="30" t="str">
        <f t="shared" si="3"/>
        <v/>
      </c>
      <c r="Q31" s="30" t="str">
        <f t="shared" si="4"/>
        <v/>
      </c>
      <c r="R31" s="30" t="str">
        <f t="shared" si="5"/>
        <v/>
      </c>
      <c r="S31" s="30" t="str">
        <f t="shared" si="6"/>
        <v/>
      </c>
      <c r="T31" s="31" t="str">
        <f t="shared" si="7"/>
        <v/>
      </c>
      <c r="U31" s="32" t="str">
        <f t="shared" si="8"/>
        <v/>
      </c>
      <c r="V31" s="33">
        <v>0</v>
      </c>
      <c r="W31" s="34" t="str">
        <f t="shared" si="9"/>
        <v/>
      </c>
      <c r="X31" s="35" t="str">
        <f ca="1">IFERROR(RealTime_Prediction!B4,"")</f>
        <v>⚠ No confident prediction</v>
      </c>
      <c r="Y31" s="36" t="str">
        <f t="shared" ca="1" si="10"/>
        <v/>
      </c>
    </row>
    <row r="32" spans="1:25" ht="23.25" customHeight="1" x14ac:dyDescent="0.2">
      <c r="A32" s="26"/>
      <c r="B32" s="26"/>
      <c r="C32" s="74"/>
      <c r="D32" s="74"/>
      <c r="E32" s="27" t="b">
        <f>FALSE()</f>
        <v>0</v>
      </c>
      <c r="F32" s="27" t="b">
        <f>FALSE()</f>
        <v>0</v>
      </c>
      <c r="G32" s="27" t="b">
        <f>FALSE()</f>
        <v>0</v>
      </c>
      <c r="H32" s="27" t="b">
        <f>FALSE()</f>
        <v>0</v>
      </c>
      <c r="I32" s="27" t="b">
        <f>FALSE()</f>
        <v>0</v>
      </c>
      <c r="J32" s="27" t="b">
        <f>FALSE()</f>
        <v>0</v>
      </c>
      <c r="K32" s="28"/>
      <c r="L32" s="29"/>
      <c r="M32" s="30" t="str">
        <f t="shared" si="0"/>
        <v/>
      </c>
      <c r="N32" s="30" t="str">
        <f t="shared" si="1"/>
        <v/>
      </c>
      <c r="O32" s="30" t="str">
        <f t="shared" si="2"/>
        <v/>
      </c>
      <c r="P32" s="30" t="str">
        <f t="shared" si="3"/>
        <v/>
      </c>
      <c r="Q32" s="30" t="str">
        <f t="shared" si="4"/>
        <v/>
      </c>
      <c r="R32" s="30" t="str">
        <f t="shared" si="5"/>
        <v/>
      </c>
      <c r="S32" s="30" t="str">
        <f t="shared" si="6"/>
        <v/>
      </c>
      <c r="T32" s="31" t="str">
        <f t="shared" si="7"/>
        <v/>
      </c>
      <c r="U32" s="32" t="str">
        <f t="shared" si="8"/>
        <v/>
      </c>
      <c r="V32" s="33">
        <v>0</v>
      </c>
      <c r="W32" s="34" t="str">
        <f t="shared" si="9"/>
        <v/>
      </c>
      <c r="X32" s="35" t="str">
        <f ca="1">IFERROR(RealTime_Prediction!B4,"")</f>
        <v>⚠ No confident prediction</v>
      </c>
      <c r="Y32" s="36" t="str">
        <f t="shared" ca="1" si="10"/>
        <v/>
      </c>
    </row>
    <row r="33" spans="1:25" ht="23.25" customHeight="1" x14ac:dyDescent="0.2">
      <c r="A33" s="26"/>
      <c r="B33" s="26"/>
      <c r="C33" s="74"/>
      <c r="D33" s="74"/>
      <c r="E33" s="27" t="b">
        <f>FALSE()</f>
        <v>0</v>
      </c>
      <c r="F33" s="27" t="b">
        <f>FALSE()</f>
        <v>0</v>
      </c>
      <c r="G33" s="27" t="b">
        <f>FALSE()</f>
        <v>0</v>
      </c>
      <c r="H33" s="27" t="b">
        <f>FALSE()</f>
        <v>0</v>
      </c>
      <c r="I33" s="27" t="b">
        <f>FALSE()</f>
        <v>0</v>
      </c>
      <c r="J33" s="27" t="b">
        <f>FALSE()</f>
        <v>0</v>
      </c>
      <c r="K33" s="28"/>
      <c r="L33" s="29"/>
      <c r="M33" s="30" t="str">
        <f t="shared" si="0"/>
        <v/>
      </c>
      <c r="N33" s="30" t="str">
        <f t="shared" si="1"/>
        <v/>
      </c>
      <c r="O33" s="30" t="str">
        <f t="shared" si="2"/>
        <v/>
      </c>
      <c r="P33" s="30" t="str">
        <f t="shared" si="3"/>
        <v/>
      </c>
      <c r="Q33" s="30" t="str">
        <f t="shared" si="4"/>
        <v/>
      </c>
      <c r="R33" s="30" t="str">
        <f t="shared" si="5"/>
        <v/>
      </c>
      <c r="S33" s="30" t="str">
        <f t="shared" si="6"/>
        <v/>
      </c>
      <c r="T33" s="31" t="str">
        <f t="shared" si="7"/>
        <v/>
      </c>
      <c r="U33" s="32" t="str">
        <f t="shared" si="8"/>
        <v/>
      </c>
      <c r="V33" s="33">
        <v>0</v>
      </c>
      <c r="W33" s="34" t="str">
        <f t="shared" si="9"/>
        <v/>
      </c>
      <c r="X33" s="35" t="str">
        <f ca="1">IFERROR(RealTime_Prediction!B4,"")</f>
        <v>⚠ No confident prediction</v>
      </c>
      <c r="Y33" s="36" t="str">
        <f t="shared" ca="1" si="10"/>
        <v/>
      </c>
    </row>
    <row r="34" spans="1:25" ht="23.25" customHeight="1" x14ac:dyDescent="0.2">
      <c r="A34" s="26"/>
      <c r="B34" s="26"/>
      <c r="C34" s="74"/>
      <c r="D34" s="74"/>
      <c r="E34" s="27" t="b">
        <f>FALSE()</f>
        <v>0</v>
      </c>
      <c r="F34" s="27" t="b">
        <f>FALSE()</f>
        <v>0</v>
      </c>
      <c r="G34" s="27" t="b">
        <f>FALSE()</f>
        <v>0</v>
      </c>
      <c r="H34" s="27" t="b">
        <f>FALSE()</f>
        <v>0</v>
      </c>
      <c r="I34" s="27" t="b">
        <f>FALSE()</f>
        <v>0</v>
      </c>
      <c r="J34" s="27" t="b">
        <f>FALSE()</f>
        <v>0</v>
      </c>
      <c r="K34" s="28"/>
      <c r="L34" s="29"/>
      <c r="M34" s="30" t="str">
        <f t="shared" si="0"/>
        <v/>
      </c>
      <c r="N34" s="30" t="str">
        <f t="shared" si="1"/>
        <v/>
      </c>
      <c r="O34" s="30" t="str">
        <f t="shared" si="2"/>
        <v/>
      </c>
      <c r="P34" s="30" t="str">
        <f t="shared" si="3"/>
        <v/>
      </c>
      <c r="Q34" s="30" t="str">
        <f t="shared" si="4"/>
        <v/>
      </c>
      <c r="R34" s="30" t="str">
        <f t="shared" si="5"/>
        <v/>
      </c>
      <c r="S34" s="30" t="str">
        <f t="shared" si="6"/>
        <v/>
      </c>
      <c r="T34" s="31" t="str">
        <f t="shared" si="7"/>
        <v/>
      </c>
      <c r="U34" s="32" t="str">
        <f t="shared" si="8"/>
        <v/>
      </c>
      <c r="V34" s="33">
        <v>0</v>
      </c>
      <c r="W34" s="34" t="str">
        <f t="shared" si="9"/>
        <v/>
      </c>
      <c r="X34" s="35" t="str">
        <f ca="1">IFERROR(RealTime_Prediction!B4,"")</f>
        <v>⚠ No confident prediction</v>
      </c>
      <c r="Y34" s="36" t="str">
        <f t="shared" ca="1" si="10"/>
        <v/>
      </c>
    </row>
    <row r="35" spans="1:25" ht="23.25" customHeight="1" x14ac:dyDescent="0.2">
      <c r="A35" s="26"/>
      <c r="B35" s="26"/>
      <c r="C35" s="74"/>
      <c r="D35" s="74"/>
      <c r="E35" s="27" t="b">
        <f>FALSE()</f>
        <v>0</v>
      </c>
      <c r="F35" s="27" t="b">
        <f>FALSE()</f>
        <v>0</v>
      </c>
      <c r="G35" s="27" t="b">
        <f>FALSE()</f>
        <v>0</v>
      </c>
      <c r="H35" s="27" t="b">
        <f>FALSE()</f>
        <v>0</v>
      </c>
      <c r="I35" s="27" t="b">
        <f>FALSE()</f>
        <v>0</v>
      </c>
      <c r="J35" s="27" t="b">
        <f>FALSE()</f>
        <v>0</v>
      </c>
      <c r="K35" s="28"/>
      <c r="L35" s="29"/>
      <c r="M35" s="30" t="str">
        <f t="shared" ref="M35:M66" si="11">IFERROR(VALUE(TRIM(MID(SUBSTITUTE(K35,"-",REPT(" ",100)),(1-1)*100+1,100))),"")</f>
        <v/>
      </c>
      <c r="N35" s="30" t="str">
        <f t="shared" ref="N35:N66" si="12">IFERROR(VALUE(TRIM(MID(SUBSTITUTE(K35,"-",REPT(" ",100)),(2-1)*100+1,100))),"")</f>
        <v/>
      </c>
      <c r="O35" s="30" t="str">
        <f t="shared" ref="O35:O66" si="13">IFERROR(VALUE(TRIM(MID(SUBSTITUTE(K35,"-",REPT(" ",100)),(3-1)*100+1,100))),"")</f>
        <v/>
      </c>
      <c r="P35" s="30" t="str">
        <f t="shared" ref="P35:P66" si="14">IFERROR(VALUE(TRIM(MID(SUBSTITUTE(K35,"-",REPT(" ",100)),(4-1)*100+1,100))),"")</f>
        <v/>
      </c>
      <c r="Q35" s="30" t="str">
        <f t="shared" ref="Q35:Q66" si="15">IFERROR(VALUE(TRIM(MID(SUBSTITUTE(K35,"-",REPT(" ",100)),(5-1)*100+1,100))),"")</f>
        <v/>
      </c>
      <c r="R35" s="30" t="str">
        <f t="shared" ref="R35:R66" si="16">IFERROR(VALUE(TRIM(MID(SUBSTITUTE(K35,"-",REPT(" ",100)),(6-1)*100+1,100))),"")</f>
        <v/>
      </c>
      <c r="S35" s="30" t="str">
        <f t="shared" ref="S35:S66" si="17">IFERROR(VALUE(TRIM(MID(SUBSTITUTE(K35,"-",REPT(" ",100)),(7-1)*100+1,100))),"")</f>
        <v/>
      </c>
      <c r="T35" s="31" t="str">
        <f t="shared" ref="T35:T66" si="18">IFERROR(LOOKUP(2,1/(M35:S35&lt;&gt;""),M35:S35),"")</f>
        <v/>
      </c>
      <c r="U35" s="32" t="str">
        <f t="shared" ref="U35:U66" si="19">IF(K35="","",LEN(K35)-LEN(SUBSTITUTE(K35,"-",""))+1)</f>
        <v/>
      </c>
      <c r="V35" s="33">
        <v>0</v>
      </c>
      <c r="W35" s="34" t="str">
        <f t="shared" ref="W35:W66" si="20">IFERROR(IF(V35=0,T35,IFERROR(VALUE(TRIM(MID(SUBSTITUTE(K35,"-",REPT(" ",100)),(U35-V35-1)*100+1,100))),"")),"")</f>
        <v/>
      </c>
      <c r="X35" s="35" t="str">
        <f ca="1">IFERROR(RealTime_Prediction!B4,"")</f>
        <v>⚠ No confident prediction</v>
      </c>
      <c r="Y35" s="36" t="str">
        <f t="shared" ref="Y35:Y66" ca="1" si="21">IF(AND(X35&lt;&gt;"",L35&lt;&gt;""),IF(X35=L35,"✓ YES","✗ NO"),"")</f>
        <v/>
      </c>
    </row>
    <row r="36" spans="1:25" ht="23.25" customHeight="1" x14ac:dyDescent="0.2">
      <c r="A36" s="26"/>
      <c r="B36" s="26"/>
      <c r="C36" s="74"/>
      <c r="D36" s="74"/>
      <c r="E36" s="27" t="b">
        <f>FALSE()</f>
        <v>0</v>
      </c>
      <c r="F36" s="27" t="b">
        <f>FALSE()</f>
        <v>0</v>
      </c>
      <c r="G36" s="27" t="b">
        <f>FALSE()</f>
        <v>0</v>
      </c>
      <c r="H36" s="27" t="b">
        <f>FALSE()</f>
        <v>0</v>
      </c>
      <c r="I36" s="27" t="b">
        <f>FALSE()</f>
        <v>0</v>
      </c>
      <c r="J36" s="27" t="b">
        <f>FALSE()</f>
        <v>0</v>
      </c>
      <c r="K36" s="28"/>
      <c r="L36" s="29"/>
      <c r="M36" s="30" t="str">
        <f t="shared" si="11"/>
        <v/>
      </c>
      <c r="N36" s="30" t="str">
        <f t="shared" si="12"/>
        <v/>
      </c>
      <c r="O36" s="30" t="str">
        <f t="shared" si="13"/>
        <v/>
      </c>
      <c r="P36" s="30" t="str">
        <f t="shared" si="14"/>
        <v/>
      </c>
      <c r="Q36" s="30" t="str">
        <f t="shared" si="15"/>
        <v/>
      </c>
      <c r="R36" s="30" t="str">
        <f t="shared" si="16"/>
        <v/>
      </c>
      <c r="S36" s="30" t="str">
        <f t="shared" si="17"/>
        <v/>
      </c>
      <c r="T36" s="31" t="str">
        <f t="shared" si="18"/>
        <v/>
      </c>
      <c r="U36" s="32" t="str">
        <f t="shared" si="19"/>
        <v/>
      </c>
      <c r="V36" s="33">
        <v>0</v>
      </c>
      <c r="W36" s="34" t="str">
        <f t="shared" si="20"/>
        <v/>
      </c>
      <c r="X36" s="35" t="str">
        <f ca="1">IFERROR(RealTime_Prediction!B4,"")</f>
        <v>⚠ No confident prediction</v>
      </c>
      <c r="Y36" s="36" t="str">
        <f t="shared" ca="1" si="21"/>
        <v/>
      </c>
    </row>
    <row r="37" spans="1:25" ht="23.25" customHeight="1" x14ac:dyDescent="0.2">
      <c r="A37" s="26"/>
      <c r="B37" s="26"/>
      <c r="C37" s="74"/>
      <c r="D37" s="74"/>
      <c r="E37" s="27" t="b">
        <f>FALSE()</f>
        <v>0</v>
      </c>
      <c r="F37" s="27" t="b">
        <f>FALSE()</f>
        <v>0</v>
      </c>
      <c r="G37" s="27" t="b">
        <f>FALSE()</f>
        <v>0</v>
      </c>
      <c r="H37" s="27" t="b">
        <f>FALSE()</f>
        <v>0</v>
      </c>
      <c r="I37" s="27" t="b">
        <f>FALSE()</f>
        <v>0</v>
      </c>
      <c r="J37" s="27" t="b">
        <f>FALSE()</f>
        <v>0</v>
      </c>
      <c r="K37" s="28"/>
      <c r="L37" s="29"/>
      <c r="M37" s="30" t="str">
        <f t="shared" si="11"/>
        <v/>
      </c>
      <c r="N37" s="30" t="str">
        <f t="shared" si="12"/>
        <v/>
      </c>
      <c r="O37" s="30" t="str">
        <f t="shared" si="13"/>
        <v/>
      </c>
      <c r="P37" s="30" t="str">
        <f t="shared" si="14"/>
        <v/>
      </c>
      <c r="Q37" s="30" t="str">
        <f t="shared" si="15"/>
        <v/>
      </c>
      <c r="R37" s="30" t="str">
        <f t="shared" si="16"/>
        <v/>
      </c>
      <c r="S37" s="30" t="str">
        <f t="shared" si="17"/>
        <v/>
      </c>
      <c r="T37" s="31" t="str">
        <f t="shared" si="18"/>
        <v/>
      </c>
      <c r="U37" s="32" t="str">
        <f t="shared" si="19"/>
        <v/>
      </c>
      <c r="V37" s="33">
        <v>0</v>
      </c>
      <c r="W37" s="34" t="str">
        <f t="shared" si="20"/>
        <v/>
      </c>
      <c r="X37" s="35" t="str">
        <f ca="1">IFERROR(RealTime_Prediction!B4,"")</f>
        <v>⚠ No confident prediction</v>
      </c>
      <c r="Y37" s="36" t="str">
        <f t="shared" ca="1" si="21"/>
        <v/>
      </c>
    </row>
    <row r="38" spans="1:25" ht="23.25" customHeight="1" x14ac:dyDescent="0.2">
      <c r="A38" s="26"/>
      <c r="B38" s="26"/>
      <c r="C38" s="74"/>
      <c r="D38" s="74"/>
      <c r="E38" s="27" t="b">
        <f>FALSE()</f>
        <v>0</v>
      </c>
      <c r="F38" s="27" t="b">
        <f>FALSE()</f>
        <v>0</v>
      </c>
      <c r="G38" s="27" t="b">
        <f>FALSE()</f>
        <v>0</v>
      </c>
      <c r="H38" s="27" t="b">
        <f>FALSE()</f>
        <v>0</v>
      </c>
      <c r="I38" s="27" t="b">
        <f>FALSE()</f>
        <v>0</v>
      </c>
      <c r="J38" s="27" t="b">
        <f>FALSE()</f>
        <v>0</v>
      </c>
      <c r="K38" s="28"/>
      <c r="L38" s="29"/>
      <c r="M38" s="30" t="str">
        <f t="shared" si="11"/>
        <v/>
      </c>
      <c r="N38" s="30" t="str">
        <f t="shared" si="12"/>
        <v/>
      </c>
      <c r="O38" s="30" t="str">
        <f t="shared" si="13"/>
        <v/>
      </c>
      <c r="P38" s="30" t="str">
        <f t="shared" si="14"/>
        <v/>
      </c>
      <c r="Q38" s="30" t="str">
        <f t="shared" si="15"/>
        <v/>
      </c>
      <c r="R38" s="30" t="str">
        <f t="shared" si="16"/>
        <v/>
      </c>
      <c r="S38" s="30" t="str">
        <f t="shared" si="17"/>
        <v/>
      </c>
      <c r="T38" s="31" t="str">
        <f t="shared" si="18"/>
        <v/>
      </c>
      <c r="U38" s="32" t="str">
        <f t="shared" si="19"/>
        <v/>
      </c>
      <c r="V38" s="33">
        <v>0</v>
      </c>
      <c r="W38" s="34" t="str">
        <f t="shared" si="20"/>
        <v/>
      </c>
      <c r="X38" s="35" t="str">
        <f ca="1">IFERROR(RealTime_Prediction!B4,"")</f>
        <v>⚠ No confident prediction</v>
      </c>
      <c r="Y38" s="36" t="str">
        <f t="shared" ca="1" si="21"/>
        <v/>
      </c>
    </row>
    <row r="39" spans="1:25" ht="23.25" customHeight="1" x14ac:dyDescent="0.2">
      <c r="A39" s="26"/>
      <c r="B39" s="26"/>
      <c r="C39" s="74"/>
      <c r="D39" s="74"/>
      <c r="E39" s="27" t="b">
        <f>FALSE()</f>
        <v>0</v>
      </c>
      <c r="F39" s="27" t="b">
        <f>FALSE()</f>
        <v>0</v>
      </c>
      <c r="G39" s="27" t="b">
        <f>FALSE()</f>
        <v>0</v>
      </c>
      <c r="H39" s="27" t="b">
        <f>FALSE()</f>
        <v>0</v>
      </c>
      <c r="I39" s="27" t="b">
        <f>FALSE()</f>
        <v>0</v>
      </c>
      <c r="J39" s="27" t="b">
        <f>FALSE()</f>
        <v>0</v>
      </c>
      <c r="K39" s="28"/>
      <c r="L39" s="29"/>
      <c r="M39" s="30" t="str">
        <f t="shared" si="11"/>
        <v/>
      </c>
      <c r="N39" s="30" t="str">
        <f t="shared" si="12"/>
        <v/>
      </c>
      <c r="O39" s="30" t="str">
        <f t="shared" si="13"/>
        <v/>
      </c>
      <c r="P39" s="30" t="str">
        <f t="shared" si="14"/>
        <v/>
      </c>
      <c r="Q39" s="30" t="str">
        <f t="shared" si="15"/>
        <v/>
      </c>
      <c r="R39" s="30" t="str">
        <f t="shared" si="16"/>
        <v/>
      </c>
      <c r="S39" s="30" t="str">
        <f t="shared" si="17"/>
        <v/>
      </c>
      <c r="T39" s="31" t="str">
        <f t="shared" si="18"/>
        <v/>
      </c>
      <c r="U39" s="32" t="str">
        <f t="shared" si="19"/>
        <v/>
      </c>
      <c r="V39" s="33">
        <v>0</v>
      </c>
      <c r="W39" s="34" t="str">
        <f t="shared" si="20"/>
        <v/>
      </c>
      <c r="X39" s="35" t="str">
        <f ca="1">IFERROR(RealTime_Prediction!B4,"")</f>
        <v>⚠ No confident prediction</v>
      </c>
      <c r="Y39" s="36" t="str">
        <f t="shared" ca="1" si="21"/>
        <v/>
      </c>
    </row>
    <row r="40" spans="1:25" ht="23.25" customHeight="1" x14ac:dyDescent="0.2">
      <c r="A40" s="26"/>
      <c r="B40" s="26"/>
      <c r="C40" s="74"/>
      <c r="D40" s="74"/>
      <c r="E40" s="27" t="b">
        <f>FALSE()</f>
        <v>0</v>
      </c>
      <c r="F40" s="27" t="b">
        <f>FALSE()</f>
        <v>0</v>
      </c>
      <c r="G40" s="27" t="b">
        <f>FALSE()</f>
        <v>0</v>
      </c>
      <c r="H40" s="27" t="b">
        <f>FALSE()</f>
        <v>0</v>
      </c>
      <c r="I40" s="27" t="b">
        <f>FALSE()</f>
        <v>0</v>
      </c>
      <c r="J40" s="27" t="b">
        <f>FALSE()</f>
        <v>0</v>
      </c>
      <c r="K40" s="28"/>
      <c r="L40" s="29"/>
      <c r="M40" s="30" t="str">
        <f t="shared" si="11"/>
        <v/>
      </c>
      <c r="N40" s="30" t="str">
        <f t="shared" si="12"/>
        <v/>
      </c>
      <c r="O40" s="30" t="str">
        <f t="shared" si="13"/>
        <v/>
      </c>
      <c r="P40" s="30" t="str">
        <f t="shared" si="14"/>
        <v/>
      </c>
      <c r="Q40" s="30" t="str">
        <f t="shared" si="15"/>
        <v/>
      </c>
      <c r="R40" s="30" t="str">
        <f t="shared" si="16"/>
        <v/>
      </c>
      <c r="S40" s="30" t="str">
        <f t="shared" si="17"/>
        <v/>
      </c>
      <c r="T40" s="31" t="str">
        <f t="shared" si="18"/>
        <v/>
      </c>
      <c r="U40" s="32" t="str">
        <f t="shared" si="19"/>
        <v/>
      </c>
      <c r="V40" s="33">
        <v>0</v>
      </c>
      <c r="W40" s="34" t="str">
        <f t="shared" si="20"/>
        <v/>
      </c>
      <c r="X40" s="35" t="str">
        <f ca="1">IFERROR(RealTime_Prediction!B4,"")</f>
        <v>⚠ No confident prediction</v>
      </c>
      <c r="Y40" s="36" t="str">
        <f t="shared" ca="1" si="21"/>
        <v/>
      </c>
    </row>
    <row r="41" spans="1:25" ht="23.25" customHeight="1" x14ac:dyDescent="0.2">
      <c r="A41" s="26"/>
      <c r="B41" s="26"/>
      <c r="C41" s="74"/>
      <c r="D41" s="74"/>
      <c r="E41" s="27" t="b">
        <f>FALSE()</f>
        <v>0</v>
      </c>
      <c r="F41" s="27" t="b">
        <f>FALSE()</f>
        <v>0</v>
      </c>
      <c r="G41" s="27" t="b">
        <f>FALSE()</f>
        <v>0</v>
      </c>
      <c r="H41" s="27" t="b">
        <f>FALSE()</f>
        <v>0</v>
      </c>
      <c r="I41" s="27" t="b">
        <f>FALSE()</f>
        <v>0</v>
      </c>
      <c r="J41" s="27" t="b">
        <f>FALSE()</f>
        <v>0</v>
      </c>
      <c r="K41" s="28"/>
      <c r="L41" s="29"/>
      <c r="M41" s="30" t="str">
        <f t="shared" si="11"/>
        <v/>
      </c>
      <c r="N41" s="30" t="str">
        <f t="shared" si="12"/>
        <v/>
      </c>
      <c r="O41" s="30" t="str">
        <f t="shared" si="13"/>
        <v/>
      </c>
      <c r="P41" s="30" t="str">
        <f t="shared" si="14"/>
        <v/>
      </c>
      <c r="Q41" s="30" t="str">
        <f t="shared" si="15"/>
        <v/>
      </c>
      <c r="R41" s="30" t="str">
        <f t="shared" si="16"/>
        <v/>
      </c>
      <c r="S41" s="30" t="str">
        <f t="shared" si="17"/>
        <v/>
      </c>
      <c r="T41" s="31" t="str">
        <f t="shared" si="18"/>
        <v/>
      </c>
      <c r="U41" s="32" t="str">
        <f t="shared" si="19"/>
        <v/>
      </c>
      <c r="V41" s="33">
        <v>0</v>
      </c>
      <c r="W41" s="34" t="str">
        <f t="shared" si="20"/>
        <v/>
      </c>
      <c r="X41" s="35" t="str">
        <f ca="1">IFERROR(RealTime_Prediction!B4,"")</f>
        <v>⚠ No confident prediction</v>
      </c>
      <c r="Y41" s="36" t="str">
        <f t="shared" ca="1" si="21"/>
        <v/>
      </c>
    </row>
    <row r="42" spans="1:25" ht="23.25" customHeight="1" x14ac:dyDescent="0.2">
      <c r="A42" s="26"/>
      <c r="B42" s="26"/>
      <c r="C42" s="74"/>
      <c r="D42" s="74"/>
      <c r="E42" s="27" t="b">
        <f>FALSE()</f>
        <v>0</v>
      </c>
      <c r="F42" s="27" t="b">
        <f>FALSE()</f>
        <v>0</v>
      </c>
      <c r="G42" s="27" t="b">
        <f>FALSE()</f>
        <v>0</v>
      </c>
      <c r="H42" s="27" t="b">
        <f>FALSE()</f>
        <v>0</v>
      </c>
      <c r="I42" s="27" t="b">
        <f>FALSE()</f>
        <v>0</v>
      </c>
      <c r="J42" s="27" t="b">
        <f>FALSE()</f>
        <v>0</v>
      </c>
      <c r="K42" s="28"/>
      <c r="L42" s="29"/>
      <c r="M42" s="30" t="str">
        <f t="shared" si="11"/>
        <v/>
      </c>
      <c r="N42" s="30" t="str">
        <f t="shared" si="12"/>
        <v/>
      </c>
      <c r="O42" s="30" t="str">
        <f t="shared" si="13"/>
        <v/>
      </c>
      <c r="P42" s="30" t="str">
        <f t="shared" si="14"/>
        <v/>
      </c>
      <c r="Q42" s="30" t="str">
        <f t="shared" si="15"/>
        <v/>
      </c>
      <c r="R42" s="30" t="str">
        <f t="shared" si="16"/>
        <v/>
      </c>
      <c r="S42" s="30" t="str">
        <f t="shared" si="17"/>
        <v/>
      </c>
      <c r="T42" s="31" t="str">
        <f t="shared" si="18"/>
        <v/>
      </c>
      <c r="U42" s="32" t="str">
        <f t="shared" si="19"/>
        <v/>
      </c>
      <c r="V42" s="33">
        <v>0</v>
      </c>
      <c r="W42" s="34" t="str">
        <f t="shared" si="20"/>
        <v/>
      </c>
      <c r="X42" s="35" t="str">
        <f ca="1">IFERROR(RealTime_Prediction!B4,"")</f>
        <v>⚠ No confident prediction</v>
      </c>
      <c r="Y42" s="36" t="str">
        <f t="shared" ca="1" si="21"/>
        <v/>
      </c>
    </row>
    <row r="43" spans="1:25" ht="23.25" customHeight="1" x14ac:dyDescent="0.2">
      <c r="A43" s="26"/>
      <c r="B43" s="26"/>
      <c r="C43" s="74"/>
      <c r="D43" s="74"/>
      <c r="E43" s="27" t="b">
        <f>FALSE()</f>
        <v>0</v>
      </c>
      <c r="F43" s="27" t="b">
        <f>FALSE()</f>
        <v>0</v>
      </c>
      <c r="G43" s="27" t="b">
        <f>FALSE()</f>
        <v>0</v>
      </c>
      <c r="H43" s="27" t="b">
        <f>FALSE()</f>
        <v>0</v>
      </c>
      <c r="I43" s="27" t="b">
        <f>FALSE()</f>
        <v>0</v>
      </c>
      <c r="J43" s="27" t="b">
        <f>FALSE()</f>
        <v>0</v>
      </c>
      <c r="K43" s="28"/>
      <c r="L43" s="29"/>
      <c r="M43" s="30" t="str">
        <f t="shared" si="11"/>
        <v/>
      </c>
      <c r="N43" s="30" t="str">
        <f t="shared" si="12"/>
        <v/>
      </c>
      <c r="O43" s="30" t="str">
        <f t="shared" si="13"/>
        <v/>
      </c>
      <c r="P43" s="30" t="str">
        <f t="shared" si="14"/>
        <v/>
      </c>
      <c r="Q43" s="30" t="str">
        <f t="shared" si="15"/>
        <v/>
      </c>
      <c r="R43" s="30" t="str">
        <f t="shared" si="16"/>
        <v/>
      </c>
      <c r="S43" s="30" t="str">
        <f t="shared" si="17"/>
        <v/>
      </c>
      <c r="T43" s="31" t="str">
        <f t="shared" si="18"/>
        <v/>
      </c>
      <c r="U43" s="32" t="str">
        <f t="shared" si="19"/>
        <v/>
      </c>
      <c r="V43" s="33">
        <v>0</v>
      </c>
      <c r="W43" s="34" t="str">
        <f t="shared" si="20"/>
        <v/>
      </c>
      <c r="X43" s="35" t="str">
        <f ca="1">IFERROR(RealTime_Prediction!B4,"")</f>
        <v>⚠ No confident prediction</v>
      </c>
      <c r="Y43" s="36" t="str">
        <f t="shared" ca="1" si="21"/>
        <v/>
      </c>
    </row>
    <row r="44" spans="1:25" ht="23.25" customHeight="1" x14ac:dyDescent="0.2">
      <c r="A44" s="26"/>
      <c r="B44" s="26"/>
      <c r="C44" s="74"/>
      <c r="D44" s="74"/>
      <c r="E44" s="27" t="b">
        <f>FALSE()</f>
        <v>0</v>
      </c>
      <c r="F44" s="27" t="b">
        <f>FALSE()</f>
        <v>0</v>
      </c>
      <c r="G44" s="27" t="b">
        <f>FALSE()</f>
        <v>0</v>
      </c>
      <c r="H44" s="27" t="b">
        <f>FALSE()</f>
        <v>0</v>
      </c>
      <c r="I44" s="27" t="b">
        <f>FALSE()</f>
        <v>0</v>
      </c>
      <c r="J44" s="27" t="b">
        <f>FALSE()</f>
        <v>0</v>
      </c>
      <c r="K44" s="28"/>
      <c r="L44" s="29"/>
      <c r="M44" s="30" t="str">
        <f t="shared" si="11"/>
        <v/>
      </c>
      <c r="N44" s="30" t="str">
        <f t="shared" si="12"/>
        <v/>
      </c>
      <c r="O44" s="30" t="str">
        <f t="shared" si="13"/>
        <v/>
      </c>
      <c r="P44" s="30" t="str">
        <f t="shared" si="14"/>
        <v/>
      </c>
      <c r="Q44" s="30" t="str">
        <f t="shared" si="15"/>
        <v/>
      </c>
      <c r="R44" s="30" t="str">
        <f t="shared" si="16"/>
        <v/>
      </c>
      <c r="S44" s="30" t="str">
        <f t="shared" si="17"/>
        <v/>
      </c>
      <c r="T44" s="31" t="str">
        <f t="shared" si="18"/>
        <v/>
      </c>
      <c r="U44" s="32" t="str">
        <f t="shared" si="19"/>
        <v/>
      </c>
      <c r="V44" s="33">
        <v>0</v>
      </c>
      <c r="W44" s="34" t="str">
        <f t="shared" si="20"/>
        <v/>
      </c>
      <c r="X44" s="35" t="str">
        <f ca="1">IFERROR(RealTime_Prediction!B4,"")</f>
        <v>⚠ No confident prediction</v>
      </c>
      <c r="Y44" s="36" t="str">
        <f t="shared" ca="1" si="21"/>
        <v/>
      </c>
    </row>
    <row r="45" spans="1:25" ht="23.25" customHeight="1" x14ac:dyDescent="0.2">
      <c r="A45" s="26"/>
      <c r="B45" s="26"/>
      <c r="C45" s="74"/>
      <c r="D45" s="74"/>
      <c r="E45" s="27" t="b">
        <f>FALSE()</f>
        <v>0</v>
      </c>
      <c r="F45" s="27" t="b">
        <f>FALSE()</f>
        <v>0</v>
      </c>
      <c r="G45" s="27" t="b">
        <f>FALSE()</f>
        <v>0</v>
      </c>
      <c r="H45" s="27" t="b">
        <f>FALSE()</f>
        <v>0</v>
      </c>
      <c r="I45" s="27" t="b">
        <f>FALSE()</f>
        <v>0</v>
      </c>
      <c r="J45" s="27" t="b">
        <f>FALSE()</f>
        <v>0</v>
      </c>
      <c r="K45" s="28"/>
      <c r="L45" s="29"/>
      <c r="M45" s="30" t="str">
        <f t="shared" si="11"/>
        <v/>
      </c>
      <c r="N45" s="30" t="str">
        <f t="shared" si="12"/>
        <v/>
      </c>
      <c r="O45" s="30" t="str">
        <f t="shared" si="13"/>
        <v/>
      </c>
      <c r="P45" s="30" t="str">
        <f t="shared" si="14"/>
        <v/>
      </c>
      <c r="Q45" s="30" t="str">
        <f t="shared" si="15"/>
        <v/>
      </c>
      <c r="R45" s="30" t="str">
        <f t="shared" si="16"/>
        <v/>
      </c>
      <c r="S45" s="30" t="str">
        <f t="shared" si="17"/>
        <v/>
      </c>
      <c r="T45" s="31" t="str">
        <f t="shared" si="18"/>
        <v/>
      </c>
      <c r="U45" s="32" t="str">
        <f t="shared" si="19"/>
        <v/>
      </c>
      <c r="V45" s="33">
        <v>0</v>
      </c>
      <c r="W45" s="34" t="str">
        <f t="shared" si="20"/>
        <v/>
      </c>
      <c r="X45" s="35" t="str">
        <f ca="1">IFERROR(RealTime_Prediction!B4,"")</f>
        <v>⚠ No confident prediction</v>
      </c>
      <c r="Y45" s="36" t="str">
        <f t="shared" ca="1" si="21"/>
        <v/>
      </c>
    </row>
    <row r="46" spans="1:25" ht="23.25" customHeight="1" x14ac:dyDescent="0.2">
      <c r="A46" s="26"/>
      <c r="B46" s="26"/>
      <c r="C46" s="74"/>
      <c r="D46" s="74"/>
      <c r="E46" s="27" t="b">
        <f>FALSE()</f>
        <v>0</v>
      </c>
      <c r="F46" s="27" t="b">
        <f>FALSE()</f>
        <v>0</v>
      </c>
      <c r="G46" s="27" t="b">
        <f>FALSE()</f>
        <v>0</v>
      </c>
      <c r="H46" s="27" t="b">
        <f>FALSE()</f>
        <v>0</v>
      </c>
      <c r="I46" s="27" t="b">
        <f>FALSE()</f>
        <v>0</v>
      </c>
      <c r="J46" s="27" t="b">
        <f>FALSE()</f>
        <v>0</v>
      </c>
      <c r="K46" s="28"/>
      <c r="L46" s="29"/>
      <c r="M46" s="30" t="str">
        <f t="shared" si="11"/>
        <v/>
      </c>
      <c r="N46" s="30" t="str">
        <f t="shared" si="12"/>
        <v/>
      </c>
      <c r="O46" s="30" t="str">
        <f t="shared" si="13"/>
        <v/>
      </c>
      <c r="P46" s="30" t="str">
        <f t="shared" si="14"/>
        <v/>
      </c>
      <c r="Q46" s="30" t="str">
        <f t="shared" si="15"/>
        <v/>
      </c>
      <c r="R46" s="30" t="str">
        <f t="shared" si="16"/>
        <v/>
      </c>
      <c r="S46" s="30" t="str">
        <f t="shared" si="17"/>
        <v/>
      </c>
      <c r="T46" s="31" t="str">
        <f t="shared" si="18"/>
        <v/>
      </c>
      <c r="U46" s="32" t="str">
        <f t="shared" si="19"/>
        <v/>
      </c>
      <c r="V46" s="33">
        <v>0</v>
      </c>
      <c r="W46" s="34" t="str">
        <f t="shared" si="20"/>
        <v/>
      </c>
      <c r="X46" s="35" t="str">
        <f ca="1">IFERROR(RealTime_Prediction!B4,"")</f>
        <v>⚠ No confident prediction</v>
      </c>
      <c r="Y46" s="36" t="str">
        <f t="shared" ca="1" si="21"/>
        <v/>
      </c>
    </row>
    <row r="47" spans="1:25" ht="23.25" customHeight="1" x14ac:dyDescent="0.2">
      <c r="A47" s="26"/>
      <c r="B47" s="26"/>
      <c r="C47" s="74"/>
      <c r="D47" s="74"/>
      <c r="E47" s="27" t="b">
        <f>FALSE()</f>
        <v>0</v>
      </c>
      <c r="F47" s="27" t="b">
        <f>FALSE()</f>
        <v>0</v>
      </c>
      <c r="G47" s="27" t="b">
        <f>FALSE()</f>
        <v>0</v>
      </c>
      <c r="H47" s="27" t="b">
        <f>FALSE()</f>
        <v>0</v>
      </c>
      <c r="I47" s="27" t="b">
        <f>FALSE()</f>
        <v>0</v>
      </c>
      <c r="J47" s="27" t="b">
        <f>FALSE()</f>
        <v>0</v>
      </c>
      <c r="K47" s="28"/>
      <c r="L47" s="29"/>
      <c r="M47" s="30" t="str">
        <f t="shared" si="11"/>
        <v/>
      </c>
      <c r="N47" s="30" t="str">
        <f t="shared" si="12"/>
        <v/>
      </c>
      <c r="O47" s="30" t="str">
        <f t="shared" si="13"/>
        <v/>
      </c>
      <c r="P47" s="30" t="str">
        <f t="shared" si="14"/>
        <v/>
      </c>
      <c r="Q47" s="30" t="str">
        <f t="shared" si="15"/>
        <v/>
      </c>
      <c r="R47" s="30" t="str">
        <f t="shared" si="16"/>
        <v/>
      </c>
      <c r="S47" s="30" t="str">
        <f t="shared" si="17"/>
        <v/>
      </c>
      <c r="T47" s="31" t="str">
        <f t="shared" si="18"/>
        <v/>
      </c>
      <c r="U47" s="32" t="str">
        <f t="shared" si="19"/>
        <v/>
      </c>
      <c r="V47" s="33">
        <v>0</v>
      </c>
      <c r="W47" s="34" t="str">
        <f t="shared" si="20"/>
        <v/>
      </c>
      <c r="X47" s="35" t="str">
        <f ca="1">IFERROR(RealTime_Prediction!B4,"")</f>
        <v>⚠ No confident prediction</v>
      </c>
      <c r="Y47" s="36" t="str">
        <f t="shared" ca="1" si="21"/>
        <v/>
      </c>
    </row>
    <row r="48" spans="1:25" ht="23.25" customHeight="1" x14ac:dyDescent="0.2">
      <c r="A48" s="26"/>
      <c r="B48" s="26"/>
      <c r="C48" s="74"/>
      <c r="D48" s="74"/>
      <c r="E48" s="27" t="b">
        <f>FALSE()</f>
        <v>0</v>
      </c>
      <c r="F48" s="27" t="b">
        <f>FALSE()</f>
        <v>0</v>
      </c>
      <c r="G48" s="27" t="b">
        <f>FALSE()</f>
        <v>0</v>
      </c>
      <c r="H48" s="27" t="b">
        <f>FALSE()</f>
        <v>0</v>
      </c>
      <c r="I48" s="27" t="b">
        <f>FALSE()</f>
        <v>0</v>
      </c>
      <c r="J48" s="27" t="b">
        <f>FALSE()</f>
        <v>0</v>
      </c>
      <c r="K48" s="28"/>
      <c r="L48" s="29"/>
      <c r="M48" s="30" t="str">
        <f t="shared" si="11"/>
        <v/>
      </c>
      <c r="N48" s="30" t="str">
        <f t="shared" si="12"/>
        <v/>
      </c>
      <c r="O48" s="30" t="str">
        <f t="shared" si="13"/>
        <v/>
      </c>
      <c r="P48" s="30" t="str">
        <f t="shared" si="14"/>
        <v/>
      </c>
      <c r="Q48" s="30" t="str">
        <f t="shared" si="15"/>
        <v/>
      </c>
      <c r="R48" s="30" t="str">
        <f t="shared" si="16"/>
        <v/>
      </c>
      <c r="S48" s="30" t="str">
        <f t="shared" si="17"/>
        <v/>
      </c>
      <c r="T48" s="31" t="str">
        <f t="shared" si="18"/>
        <v/>
      </c>
      <c r="U48" s="32" t="str">
        <f t="shared" si="19"/>
        <v/>
      </c>
      <c r="V48" s="33">
        <v>0</v>
      </c>
      <c r="W48" s="34" t="str">
        <f t="shared" si="20"/>
        <v/>
      </c>
      <c r="X48" s="35" t="str">
        <f ca="1">IFERROR(RealTime_Prediction!B4,"")</f>
        <v>⚠ No confident prediction</v>
      </c>
      <c r="Y48" s="36" t="str">
        <f t="shared" ca="1" si="21"/>
        <v/>
      </c>
    </row>
    <row r="49" spans="1:25" ht="23.25" customHeight="1" x14ac:dyDescent="0.2">
      <c r="A49" s="26"/>
      <c r="B49" s="26"/>
      <c r="C49" s="74"/>
      <c r="D49" s="74"/>
      <c r="E49" s="27" t="b">
        <f>FALSE()</f>
        <v>0</v>
      </c>
      <c r="F49" s="27" t="b">
        <f>FALSE()</f>
        <v>0</v>
      </c>
      <c r="G49" s="27" t="b">
        <f>FALSE()</f>
        <v>0</v>
      </c>
      <c r="H49" s="27" t="b">
        <f>FALSE()</f>
        <v>0</v>
      </c>
      <c r="I49" s="27" t="b">
        <f>FALSE()</f>
        <v>0</v>
      </c>
      <c r="J49" s="27" t="b">
        <f>FALSE()</f>
        <v>0</v>
      </c>
      <c r="K49" s="28"/>
      <c r="L49" s="29"/>
      <c r="M49" s="30" t="str">
        <f t="shared" si="11"/>
        <v/>
      </c>
      <c r="N49" s="30" t="str">
        <f t="shared" si="12"/>
        <v/>
      </c>
      <c r="O49" s="30" t="str">
        <f t="shared" si="13"/>
        <v/>
      </c>
      <c r="P49" s="30" t="str">
        <f t="shared" si="14"/>
        <v/>
      </c>
      <c r="Q49" s="30" t="str">
        <f t="shared" si="15"/>
        <v/>
      </c>
      <c r="R49" s="30" t="str">
        <f t="shared" si="16"/>
        <v/>
      </c>
      <c r="S49" s="30" t="str">
        <f t="shared" si="17"/>
        <v/>
      </c>
      <c r="T49" s="31" t="str">
        <f t="shared" si="18"/>
        <v/>
      </c>
      <c r="U49" s="32" t="str">
        <f t="shared" si="19"/>
        <v/>
      </c>
      <c r="V49" s="33">
        <v>0</v>
      </c>
      <c r="W49" s="34" t="str">
        <f t="shared" si="20"/>
        <v/>
      </c>
      <c r="X49" s="35" t="str">
        <f ca="1">IFERROR(RealTime_Prediction!B4,"")</f>
        <v>⚠ No confident prediction</v>
      </c>
      <c r="Y49" s="36" t="str">
        <f t="shared" ca="1" si="21"/>
        <v/>
      </c>
    </row>
    <row r="50" spans="1:25" ht="23.25" customHeight="1" x14ac:dyDescent="0.2">
      <c r="A50" s="26"/>
      <c r="B50" s="26"/>
      <c r="C50" s="74"/>
      <c r="D50" s="74"/>
      <c r="E50" s="27" t="b">
        <f>FALSE()</f>
        <v>0</v>
      </c>
      <c r="F50" s="27" t="b">
        <f>FALSE()</f>
        <v>0</v>
      </c>
      <c r="G50" s="27" t="b">
        <f>FALSE()</f>
        <v>0</v>
      </c>
      <c r="H50" s="27" t="b">
        <f>FALSE()</f>
        <v>0</v>
      </c>
      <c r="I50" s="27" t="b">
        <f>FALSE()</f>
        <v>0</v>
      </c>
      <c r="J50" s="27" t="b">
        <f>FALSE()</f>
        <v>0</v>
      </c>
      <c r="K50" s="28"/>
      <c r="L50" s="29"/>
      <c r="M50" s="30" t="str">
        <f t="shared" si="11"/>
        <v/>
      </c>
      <c r="N50" s="30" t="str">
        <f t="shared" si="12"/>
        <v/>
      </c>
      <c r="O50" s="30" t="str">
        <f t="shared" si="13"/>
        <v/>
      </c>
      <c r="P50" s="30" t="str">
        <f t="shared" si="14"/>
        <v/>
      </c>
      <c r="Q50" s="30" t="str">
        <f t="shared" si="15"/>
        <v/>
      </c>
      <c r="R50" s="30" t="str">
        <f t="shared" si="16"/>
        <v/>
      </c>
      <c r="S50" s="30" t="str">
        <f t="shared" si="17"/>
        <v/>
      </c>
      <c r="T50" s="31" t="str">
        <f t="shared" si="18"/>
        <v/>
      </c>
      <c r="U50" s="32" t="str">
        <f t="shared" si="19"/>
        <v/>
      </c>
      <c r="V50" s="33">
        <v>0</v>
      </c>
      <c r="W50" s="34" t="str">
        <f t="shared" si="20"/>
        <v/>
      </c>
      <c r="X50" s="35" t="str">
        <f ca="1">IFERROR(RealTime_Prediction!B4,"")</f>
        <v>⚠ No confident prediction</v>
      </c>
      <c r="Y50" s="36" t="str">
        <f t="shared" ca="1" si="21"/>
        <v/>
      </c>
    </row>
    <row r="51" spans="1:25" ht="23.25" customHeight="1" x14ac:dyDescent="0.2">
      <c r="A51" s="26"/>
      <c r="B51" s="26"/>
      <c r="C51" s="74"/>
      <c r="D51" s="74"/>
      <c r="E51" s="27" t="b">
        <f>FALSE()</f>
        <v>0</v>
      </c>
      <c r="F51" s="27" t="b">
        <f>FALSE()</f>
        <v>0</v>
      </c>
      <c r="G51" s="27" t="b">
        <f>FALSE()</f>
        <v>0</v>
      </c>
      <c r="H51" s="27" t="b">
        <f>FALSE()</f>
        <v>0</v>
      </c>
      <c r="I51" s="27" t="b">
        <f>FALSE()</f>
        <v>0</v>
      </c>
      <c r="J51" s="27" t="b">
        <f>FALSE()</f>
        <v>0</v>
      </c>
      <c r="K51" s="28"/>
      <c r="L51" s="29"/>
      <c r="M51" s="30" t="str">
        <f t="shared" si="11"/>
        <v/>
      </c>
      <c r="N51" s="30" t="str">
        <f t="shared" si="12"/>
        <v/>
      </c>
      <c r="O51" s="30" t="str">
        <f t="shared" si="13"/>
        <v/>
      </c>
      <c r="P51" s="30" t="str">
        <f t="shared" si="14"/>
        <v/>
      </c>
      <c r="Q51" s="30" t="str">
        <f t="shared" si="15"/>
        <v/>
      </c>
      <c r="R51" s="30" t="str">
        <f t="shared" si="16"/>
        <v/>
      </c>
      <c r="S51" s="30" t="str">
        <f t="shared" si="17"/>
        <v/>
      </c>
      <c r="T51" s="31" t="str">
        <f t="shared" si="18"/>
        <v/>
      </c>
      <c r="U51" s="32" t="str">
        <f t="shared" si="19"/>
        <v/>
      </c>
      <c r="V51" s="33">
        <v>0</v>
      </c>
      <c r="W51" s="34" t="str">
        <f t="shared" si="20"/>
        <v/>
      </c>
      <c r="X51" s="35" t="str">
        <f ca="1">IFERROR(RealTime_Prediction!B4,"")</f>
        <v>⚠ No confident prediction</v>
      </c>
      <c r="Y51" s="36" t="str">
        <f t="shared" ca="1" si="21"/>
        <v/>
      </c>
    </row>
    <row r="52" spans="1:25" ht="23.25" customHeight="1" x14ac:dyDescent="0.2">
      <c r="A52" s="26"/>
      <c r="B52" s="26"/>
      <c r="C52" s="74"/>
      <c r="D52" s="74"/>
      <c r="E52" s="27" t="b">
        <f>FALSE()</f>
        <v>0</v>
      </c>
      <c r="F52" s="27" t="b">
        <f>FALSE()</f>
        <v>0</v>
      </c>
      <c r="G52" s="27" t="b">
        <f>FALSE()</f>
        <v>0</v>
      </c>
      <c r="H52" s="27" t="b">
        <f>FALSE()</f>
        <v>0</v>
      </c>
      <c r="I52" s="27" t="b">
        <f>FALSE()</f>
        <v>0</v>
      </c>
      <c r="J52" s="27" t="b">
        <f>FALSE()</f>
        <v>0</v>
      </c>
      <c r="K52" s="28"/>
      <c r="L52" s="29"/>
      <c r="M52" s="30" t="str">
        <f t="shared" si="11"/>
        <v/>
      </c>
      <c r="N52" s="30" t="str">
        <f t="shared" si="12"/>
        <v/>
      </c>
      <c r="O52" s="30" t="str">
        <f t="shared" si="13"/>
        <v/>
      </c>
      <c r="P52" s="30" t="str">
        <f t="shared" si="14"/>
        <v/>
      </c>
      <c r="Q52" s="30" t="str">
        <f t="shared" si="15"/>
        <v/>
      </c>
      <c r="R52" s="30" t="str">
        <f t="shared" si="16"/>
        <v/>
      </c>
      <c r="S52" s="30" t="str">
        <f t="shared" si="17"/>
        <v/>
      </c>
      <c r="T52" s="31" t="str">
        <f t="shared" si="18"/>
        <v/>
      </c>
      <c r="U52" s="32" t="str">
        <f t="shared" si="19"/>
        <v/>
      </c>
      <c r="V52" s="33">
        <v>0</v>
      </c>
      <c r="W52" s="34" t="str">
        <f t="shared" si="20"/>
        <v/>
      </c>
      <c r="X52" s="35" t="str">
        <f ca="1">IFERROR(RealTime_Prediction!B4,"")</f>
        <v>⚠ No confident prediction</v>
      </c>
      <c r="Y52" s="36" t="str">
        <f t="shared" ca="1" si="21"/>
        <v/>
      </c>
    </row>
    <row r="53" spans="1:25" ht="23.25" customHeight="1" x14ac:dyDescent="0.2">
      <c r="A53" s="26"/>
      <c r="B53" s="26"/>
      <c r="C53" s="74"/>
      <c r="D53" s="74"/>
      <c r="E53" s="27" t="b">
        <f>FALSE()</f>
        <v>0</v>
      </c>
      <c r="F53" s="27" t="b">
        <f>FALSE()</f>
        <v>0</v>
      </c>
      <c r="G53" s="27" t="b">
        <f>FALSE()</f>
        <v>0</v>
      </c>
      <c r="H53" s="27" t="b">
        <f>FALSE()</f>
        <v>0</v>
      </c>
      <c r="I53" s="27" t="b">
        <f>FALSE()</f>
        <v>0</v>
      </c>
      <c r="J53" s="27" t="b">
        <f>FALSE()</f>
        <v>0</v>
      </c>
      <c r="K53" s="28"/>
      <c r="L53" s="29"/>
      <c r="M53" s="30" t="str">
        <f t="shared" si="11"/>
        <v/>
      </c>
      <c r="N53" s="30" t="str">
        <f t="shared" si="12"/>
        <v/>
      </c>
      <c r="O53" s="30" t="str">
        <f t="shared" si="13"/>
        <v/>
      </c>
      <c r="P53" s="30" t="str">
        <f t="shared" si="14"/>
        <v/>
      </c>
      <c r="Q53" s="30" t="str">
        <f t="shared" si="15"/>
        <v/>
      </c>
      <c r="R53" s="30" t="str">
        <f t="shared" si="16"/>
        <v/>
      </c>
      <c r="S53" s="30" t="str">
        <f t="shared" si="17"/>
        <v/>
      </c>
      <c r="T53" s="31" t="str">
        <f t="shared" si="18"/>
        <v/>
      </c>
      <c r="U53" s="32" t="str">
        <f t="shared" si="19"/>
        <v/>
      </c>
      <c r="V53" s="33">
        <v>0</v>
      </c>
      <c r="W53" s="34" t="str">
        <f t="shared" si="20"/>
        <v/>
      </c>
      <c r="X53" s="35" t="str">
        <f ca="1">IFERROR(RealTime_Prediction!B4,"")</f>
        <v>⚠ No confident prediction</v>
      </c>
      <c r="Y53" s="36" t="str">
        <f t="shared" ca="1" si="21"/>
        <v/>
      </c>
    </row>
    <row r="54" spans="1:25" ht="23.25" customHeight="1" x14ac:dyDescent="0.2">
      <c r="A54" s="26"/>
      <c r="B54" s="26"/>
      <c r="C54" s="74"/>
      <c r="D54" s="74"/>
      <c r="E54" s="27" t="b">
        <f>FALSE()</f>
        <v>0</v>
      </c>
      <c r="F54" s="27" t="b">
        <f>FALSE()</f>
        <v>0</v>
      </c>
      <c r="G54" s="27" t="b">
        <f>FALSE()</f>
        <v>0</v>
      </c>
      <c r="H54" s="27" t="b">
        <f>FALSE()</f>
        <v>0</v>
      </c>
      <c r="I54" s="27" t="b">
        <f>FALSE()</f>
        <v>0</v>
      </c>
      <c r="J54" s="27" t="b">
        <f>FALSE()</f>
        <v>0</v>
      </c>
      <c r="K54" s="28"/>
      <c r="L54" s="29"/>
      <c r="M54" s="30" t="str">
        <f t="shared" si="11"/>
        <v/>
      </c>
      <c r="N54" s="30" t="str">
        <f t="shared" si="12"/>
        <v/>
      </c>
      <c r="O54" s="30" t="str">
        <f t="shared" si="13"/>
        <v/>
      </c>
      <c r="P54" s="30" t="str">
        <f t="shared" si="14"/>
        <v/>
      </c>
      <c r="Q54" s="30" t="str">
        <f t="shared" si="15"/>
        <v/>
      </c>
      <c r="R54" s="30" t="str">
        <f t="shared" si="16"/>
        <v/>
      </c>
      <c r="S54" s="30" t="str">
        <f t="shared" si="17"/>
        <v/>
      </c>
      <c r="T54" s="31" t="str">
        <f t="shared" si="18"/>
        <v/>
      </c>
      <c r="U54" s="32" t="str">
        <f t="shared" si="19"/>
        <v/>
      </c>
      <c r="V54" s="33">
        <v>0</v>
      </c>
      <c r="W54" s="34" t="str">
        <f t="shared" si="20"/>
        <v/>
      </c>
      <c r="X54" s="35" t="str">
        <f ca="1">IFERROR(RealTime_Prediction!B4,"")</f>
        <v>⚠ No confident prediction</v>
      </c>
      <c r="Y54" s="36" t="str">
        <f t="shared" ca="1" si="21"/>
        <v/>
      </c>
    </row>
    <row r="55" spans="1:25" ht="23.25" customHeight="1" x14ac:dyDescent="0.2">
      <c r="A55" s="26"/>
      <c r="B55" s="26"/>
      <c r="C55" s="74"/>
      <c r="D55" s="74"/>
      <c r="E55" s="27" t="b">
        <f>FALSE()</f>
        <v>0</v>
      </c>
      <c r="F55" s="27" t="b">
        <f>FALSE()</f>
        <v>0</v>
      </c>
      <c r="G55" s="27" t="b">
        <f>FALSE()</f>
        <v>0</v>
      </c>
      <c r="H55" s="27" t="b">
        <f>FALSE()</f>
        <v>0</v>
      </c>
      <c r="I55" s="27" t="b">
        <f>FALSE()</f>
        <v>0</v>
      </c>
      <c r="J55" s="27" t="b">
        <f>FALSE()</f>
        <v>0</v>
      </c>
      <c r="K55" s="28"/>
      <c r="L55" s="29"/>
      <c r="M55" s="30" t="str">
        <f t="shared" si="11"/>
        <v/>
      </c>
      <c r="N55" s="30" t="str">
        <f t="shared" si="12"/>
        <v/>
      </c>
      <c r="O55" s="30" t="str">
        <f t="shared" si="13"/>
        <v/>
      </c>
      <c r="P55" s="30" t="str">
        <f t="shared" si="14"/>
        <v/>
      </c>
      <c r="Q55" s="30" t="str">
        <f t="shared" si="15"/>
        <v/>
      </c>
      <c r="R55" s="30" t="str">
        <f t="shared" si="16"/>
        <v/>
      </c>
      <c r="S55" s="30" t="str">
        <f t="shared" si="17"/>
        <v/>
      </c>
      <c r="T55" s="31" t="str">
        <f t="shared" si="18"/>
        <v/>
      </c>
      <c r="U55" s="32" t="str">
        <f t="shared" si="19"/>
        <v/>
      </c>
      <c r="V55" s="33">
        <v>0</v>
      </c>
      <c r="W55" s="34" t="str">
        <f t="shared" si="20"/>
        <v/>
      </c>
      <c r="X55" s="35" t="str">
        <f ca="1">IFERROR(RealTime_Prediction!B4,"")</f>
        <v>⚠ No confident prediction</v>
      </c>
      <c r="Y55" s="36" t="str">
        <f t="shared" ca="1" si="21"/>
        <v/>
      </c>
    </row>
    <row r="56" spans="1:25" ht="23.25" customHeight="1" x14ac:dyDescent="0.2">
      <c r="A56" s="26"/>
      <c r="B56" s="26"/>
      <c r="C56" s="74"/>
      <c r="D56" s="74"/>
      <c r="E56" s="27" t="b">
        <f>FALSE()</f>
        <v>0</v>
      </c>
      <c r="F56" s="27" t="b">
        <f>FALSE()</f>
        <v>0</v>
      </c>
      <c r="G56" s="27" t="b">
        <f>FALSE()</f>
        <v>0</v>
      </c>
      <c r="H56" s="27" t="b">
        <f>FALSE()</f>
        <v>0</v>
      </c>
      <c r="I56" s="27" t="b">
        <f>FALSE()</f>
        <v>0</v>
      </c>
      <c r="J56" s="27" t="b">
        <f>FALSE()</f>
        <v>0</v>
      </c>
      <c r="K56" s="28"/>
      <c r="L56" s="29"/>
      <c r="M56" s="30" t="str">
        <f t="shared" si="11"/>
        <v/>
      </c>
      <c r="N56" s="30" t="str">
        <f t="shared" si="12"/>
        <v/>
      </c>
      <c r="O56" s="30" t="str">
        <f t="shared" si="13"/>
        <v/>
      </c>
      <c r="P56" s="30" t="str">
        <f t="shared" si="14"/>
        <v/>
      </c>
      <c r="Q56" s="30" t="str">
        <f t="shared" si="15"/>
        <v/>
      </c>
      <c r="R56" s="30" t="str">
        <f t="shared" si="16"/>
        <v/>
      </c>
      <c r="S56" s="30" t="str">
        <f t="shared" si="17"/>
        <v/>
      </c>
      <c r="T56" s="31" t="str">
        <f t="shared" si="18"/>
        <v/>
      </c>
      <c r="U56" s="32" t="str">
        <f t="shared" si="19"/>
        <v/>
      </c>
      <c r="V56" s="33">
        <v>0</v>
      </c>
      <c r="W56" s="34" t="str">
        <f t="shared" si="20"/>
        <v/>
      </c>
      <c r="X56" s="35" t="str">
        <f ca="1">IFERROR(RealTime_Prediction!B4,"")</f>
        <v>⚠ No confident prediction</v>
      </c>
      <c r="Y56" s="36" t="str">
        <f t="shared" ca="1" si="21"/>
        <v/>
      </c>
    </row>
    <row r="57" spans="1:25" ht="23.25" customHeight="1" x14ac:dyDescent="0.2">
      <c r="A57" s="26"/>
      <c r="B57" s="26"/>
      <c r="C57" s="74"/>
      <c r="D57" s="74"/>
      <c r="E57" s="27" t="b">
        <f>FALSE()</f>
        <v>0</v>
      </c>
      <c r="F57" s="27" t="b">
        <f>FALSE()</f>
        <v>0</v>
      </c>
      <c r="G57" s="27" t="b">
        <f>FALSE()</f>
        <v>0</v>
      </c>
      <c r="H57" s="27" t="b">
        <f>FALSE()</f>
        <v>0</v>
      </c>
      <c r="I57" s="27" t="b">
        <f>FALSE()</f>
        <v>0</v>
      </c>
      <c r="J57" s="27" t="b">
        <f>FALSE()</f>
        <v>0</v>
      </c>
      <c r="K57" s="28"/>
      <c r="L57" s="29"/>
      <c r="M57" s="30" t="str">
        <f t="shared" si="11"/>
        <v/>
      </c>
      <c r="N57" s="30" t="str">
        <f t="shared" si="12"/>
        <v/>
      </c>
      <c r="O57" s="30" t="str">
        <f t="shared" si="13"/>
        <v/>
      </c>
      <c r="P57" s="30" t="str">
        <f t="shared" si="14"/>
        <v/>
      </c>
      <c r="Q57" s="30" t="str">
        <f t="shared" si="15"/>
        <v/>
      </c>
      <c r="R57" s="30" t="str">
        <f t="shared" si="16"/>
        <v/>
      </c>
      <c r="S57" s="30" t="str">
        <f t="shared" si="17"/>
        <v/>
      </c>
      <c r="T57" s="31" t="str">
        <f t="shared" si="18"/>
        <v/>
      </c>
      <c r="U57" s="32" t="str">
        <f t="shared" si="19"/>
        <v/>
      </c>
      <c r="V57" s="33">
        <v>0</v>
      </c>
      <c r="W57" s="34" t="str">
        <f t="shared" si="20"/>
        <v/>
      </c>
      <c r="X57" s="35" t="str">
        <f ca="1">IFERROR(RealTime_Prediction!B4,"")</f>
        <v>⚠ No confident prediction</v>
      </c>
      <c r="Y57" s="36" t="str">
        <f t="shared" ca="1" si="21"/>
        <v/>
      </c>
    </row>
    <row r="58" spans="1:25" ht="23.25" customHeight="1" x14ac:dyDescent="0.2">
      <c r="A58" s="26"/>
      <c r="B58" s="26"/>
      <c r="C58" s="74"/>
      <c r="D58" s="74"/>
      <c r="E58" s="27" t="b">
        <f>FALSE()</f>
        <v>0</v>
      </c>
      <c r="F58" s="27" t="b">
        <f>FALSE()</f>
        <v>0</v>
      </c>
      <c r="G58" s="27" t="b">
        <f>FALSE()</f>
        <v>0</v>
      </c>
      <c r="H58" s="27" t="b">
        <f>FALSE()</f>
        <v>0</v>
      </c>
      <c r="I58" s="27" t="b">
        <f>FALSE()</f>
        <v>0</v>
      </c>
      <c r="J58" s="27" t="b">
        <f>FALSE()</f>
        <v>0</v>
      </c>
      <c r="K58" s="28"/>
      <c r="L58" s="29"/>
      <c r="M58" s="30" t="str">
        <f t="shared" si="11"/>
        <v/>
      </c>
      <c r="N58" s="30" t="str">
        <f t="shared" si="12"/>
        <v/>
      </c>
      <c r="O58" s="30" t="str">
        <f t="shared" si="13"/>
        <v/>
      </c>
      <c r="P58" s="30" t="str">
        <f t="shared" si="14"/>
        <v/>
      </c>
      <c r="Q58" s="30" t="str">
        <f t="shared" si="15"/>
        <v/>
      </c>
      <c r="R58" s="30" t="str">
        <f t="shared" si="16"/>
        <v/>
      </c>
      <c r="S58" s="30" t="str">
        <f t="shared" si="17"/>
        <v/>
      </c>
      <c r="T58" s="31" t="str">
        <f t="shared" si="18"/>
        <v/>
      </c>
      <c r="U58" s="32" t="str">
        <f t="shared" si="19"/>
        <v/>
      </c>
      <c r="V58" s="33">
        <v>0</v>
      </c>
      <c r="W58" s="34" t="str">
        <f t="shared" si="20"/>
        <v/>
      </c>
      <c r="X58" s="35" t="str">
        <f ca="1">IFERROR(RealTime_Prediction!B4,"")</f>
        <v>⚠ No confident prediction</v>
      </c>
      <c r="Y58" s="36" t="str">
        <f t="shared" ca="1" si="21"/>
        <v/>
      </c>
    </row>
    <row r="59" spans="1:25" ht="23.25" customHeight="1" x14ac:dyDescent="0.2">
      <c r="A59" s="26"/>
      <c r="B59" s="26"/>
      <c r="C59" s="74"/>
      <c r="D59" s="74"/>
      <c r="E59" s="27" t="b">
        <f>FALSE()</f>
        <v>0</v>
      </c>
      <c r="F59" s="27" t="b">
        <f>FALSE()</f>
        <v>0</v>
      </c>
      <c r="G59" s="27" t="b">
        <f>FALSE()</f>
        <v>0</v>
      </c>
      <c r="H59" s="27" t="b">
        <f>FALSE()</f>
        <v>0</v>
      </c>
      <c r="I59" s="27" t="b">
        <f>FALSE()</f>
        <v>0</v>
      </c>
      <c r="J59" s="27" t="b">
        <f>FALSE()</f>
        <v>0</v>
      </c>
      <c r="K59" s="28"/>
      <c r="L59" s="29"/>
      <c r="M59" s="30" t="str">
        <f t="shared" si="11"/>
        <v/>
      </c>
      <c r="N59" s="30" t="str">
        <f t="shared" si="12"/>
        <v/>
      </c>
      <c r="O59" s="30" t="str">
        <f t="shared" si="13"/>
        <v/>
      </c>
      <c r="P59" s="30" t="str">
        <f t="shared" si="14"/>
        <v/>
      </c>
      <c r="Q59" s="30" t="str">
        <f t="shared" si="15"/>
        <v/>
      </c>
      <c r="R59" s="30" t="str">
        <f t="shared" si="16"/>
        <v/>
      </c>
      <c r="S59" s="30" t="str">
        <f t="shared" si="17"/>
        <v/>
      </c>
      <c r="T59" s="31" t="str">
        <f t="shared" si="18"/>
        <v/>
      </c>
      <c r="U59" s="32" t="str">
        <f t="shared" si="19"/>
        <v/>
      </c>
      <c r="V59" s="33">
        <v>0</v>
      </c>
      <c r="W59" s="34" t="str">
        <f t="shared" si="20"/>
        <v/>
      </c>
      <c r="X59" s="35" t="str">
        <f ca="1">IFERROR(RealTime_Prediction!B4,"")</f>
        <v>⚠ No confident prediction</v>
      </c>
      <c r="Y59" s="36" t="str">
        <f t="shared" ca="1" si="21"/>
        <v/>
      </c>
    </row>
    <row r="60" spans="1:25" ht="23.25" customHeight="1" x14ac:dyDescent="0.2">
      <c r="A60" s="26"/>
      <c r="B60" s="26"/>
      <c r="C60" s="74"/>
      <c r="D60" s="74"/>
      <c r="E60" s="27" t="b">
        <f>FALSE()</f>
        <v>0</v>
      </c>
      <c r="F60" s="27" t="b">
        <f>FALSE()</f>
        <v>0</v>
      </c>
      <c r="G60" s="27" t="b">
        <f>FALSE()</f>
        <v>0</v>
      </c>
      <c r="H60" s="27" t="b">
        <f>FALSE()</f>
        <v>0</v>
      </c>
      <c r="I60" s="27" t="b">
        <f>FALSE()</f>
        <v>0</v>
      </c>
      <c r="J60" s="27" t="b">
        <f>FALSE()</f>
        <v>0</v>
      </c>
      <c r="K60" s="28"/>
      <c r="L60" s="29"/>
      <c r="M60" s="30" t="str">
        <f t="shared" si="11"/>
        <v/>
      </c>
      <c r="N60" s="30" t="str">
        <f t="shared" si="12"/>
        <v/>
      </c>
      <c r="O60" s="30" t="str">
        <f t="shared" si="13"/>
        <v/>
      </c>
      <c r="P60" s="30" t="str">
        <f t="shared" si="14"/>
        <v/>
      </c>
      <c r="Q60" s="30" t="str">
        <f t="shared" si="15"/>
        <v/>
      </c>
      <c r="R60" s="30" t="str">
        <f t="shared" si="16"/>
        <v/>
      </c>
      <c r="S60" s="30" t="str">
        <f t="shared" si="17"/>
        <v/>
      </c>
      <c r="T60" s="31" t="str">
        <f t="shared" si="18"/>
        <v/>
      </c>
      <c r="U60" s="32" t="str">
        <f t="shared" si="19"/>
        <v/>
      </c>
      <c r="V60" s="33">
        <v>0</v>
      </c>
      <c r="W60" s="34" t="str">
        <f t="shared" si="20"/>
        <v/>
      </c>
      <c r="X60" s="35" t="str">
        <f ca="1">IFERROR(RealTime_Prediction!B4,"")</f>
        <v>⚠ No confident prediction</v>
      </c>
      <c r="Y60" s="36" t="str">
        <f t="shared" ca="1" si="21"/>
        <v/>
      </c>
    </row>
    <row r="61" spans="1:25" ht="23.25" customHeight="1" x14ac:dyDescent="0.2">
      <c r="A61" s="26"/>
      <c r="B61" s="26"/>
      <c r="C61" s="74"/>
      <c r="D61" s="74"/>
      <c r="E61" s="27" t="b">
        <f>FALSE()</f>
        <v>0</v>
      </c>
      <c r="F61" s="27" t="b">
        <f>FALSE()</f>
        <v>0</v>
      </c>
      <c r="G61" s="27" t="b">
        <f>FALSE()</f>
        <v>0</v>
      </c>
      <c r="H61" s="27" t="b">
        <f>FALSE()</f>
        <v>0</v>
      </c>
      <c r="I61" s="27" t="b">
        <f>FALSE()</f>
        <v>0</v>
      </c>
      <c r="J61" s="27" t="b">
        <f>FALSE()</f>
        <v>0</v>
      </c>
      <c r="K61" s="28"/>
      <c r="L61" s="29"/>
      <c r="M61" s="30" t="str">
        <f t="shared" si="11"/>
        <v/>
      </c>
      <c r="N61" s="30" t="str">
        <f t="shared" si="12"/>
        <v/>
      </c>
      <c r="O61" s="30" t="str">
        <f t="shared" si="13"/>
        <v/>
      </c>
      <c r="P61" s="30" t="str">
        <f t="shared" si="14"/>
        <v/>
      </c>
      <c r="Q61" s="30" t="str">
        <f t="shared" si="15"/>
        <v/>
      </c>
      <c r="R61" s="30" t="str">
        <f t="shared" si="16"/>
        <v/>
      </c>
      <c r="S61" s="30" t="str">
        <f t="shared" si="17"/>
        <v/>
      </c>
      <c r="T61" s="31" t="str">
        <f t="shared" si="18"/>
        <v/>
      </c>
      <c r="U61" s="32" t="str">
        <f t="shared" si="19"/>
        <v/>
      </c>
      <c r="V61" s="33">
        <v>0</v>
      </c>
      <c r="W61" s="34" t="str">
        <f t="shared" si="20"/>
        <v/>
      </c>
      <c r="X61" s="35" t="str">
        <f ca="1">IFERROR(RealTime_Prediction!B4,"")</f>
        <v>⚠ No confident prediction</v>
      </c>
      <c r="Y61" s="36" t="str">
        <f t="shared" ca="1" si="21"/>
        <v/>
      </c>
    </row>
    <row r="62" spans="1:25" ht="23.25" customHeight="1" x14ac:dyDescent="0.2">
      <c r="A62" s="26"/>
      <c r="B62" s="26"/>
      <c r="C62" s="74"/>
      <c r="D62" s="74"/>
      <c r="E62" s="27" t="b">
        <f>FALSE()</f>
        <v>0</v>
      </c>
      <c r="F62" s="27" t="b">
        <f>FALSE()</f>
        <v>0</v>
      </c>
      <c r="G62" s="27" t="b">
        <f>FALSE()</f>
        <v>0</v>
      </c>
      <c r="H62" s="27" t="b">
        <f>FALSE()</f>
        <v>0</v>
      </c>
      <c r="I62" s="27" t="b">
        <f>FALSE()</f>
        <v>0</v>
      </c>
      <c r="J62" s="27" t="b">
        <f>FALSE()</f>
        <v>0</v>
      </c>
      <c r="K62" s="28"/>
      <c r="L62" s="29"/>
      <c r="M62" s="30" t="str">
        <f t="shared" si="11"/>
        <v/>
      </c>
      <c r="N62" s="30" t="str">
        <f t="shared" si="12"/>
        <v/>
      </c>
      <c r="O62" s="30" t="str">
        <f t="shared" si="13"/>
        <v/>
      </c>
      <c r="P62" s="30" t="str">
        <f t="shared" si="14"/>
        <v/>
      </c>
      <c r="Q62" s="30" t="str">
        <f t="shared" si="15"/>
        <v/>
      </c>
      <c r="R62" s="30" t="str">
        <f t="shared" si="16"/>
        <v/>
      </c>
      <c r="S62" s="30" t="str">
        <f t="shared" si="17"/>
        <v/>
      </c>
      <c r="T62" s="31" t="str">
        <f t="shared" si="18"/>
        <v/>
      </c>
      <c r="U62" s="32" t="str">
        <f t="shared" si="19"/>
        <v/>
      </c>
      <c r="V62" s="33">
        <v>0</v>
      </c>
      <c r="W62" s="34" t="str">
        <f t="shared" si="20"/>
        <v/>
      </c>
      <c r="X62" s="35" t="str">
        <f ca="1">IFERROR(RealTime_Prediction!B4,"")</f>
        <v>⚠ No confident prediction</v>
      </c>
      <c r="Y62" s="36" t="str">
        <f t="shared" ca="1" si="21"/>
        <v/>
      </c>
    </row>
    <row r="63" spans="1:25" ht="23.25" customHeight="1" x14ac:dyDescent="0.2">
      <c r="A63" s="26"/>
      <c r="B63" s="26"/>
      <c r="C63" s="74"/>
      <c r="D63" s="74"/>
      <c r="E63" s="27" t="b">
        <f>FALSE()</f>
        <v>0</v>
      </c>
      <c r="F63" s="27" t="b">
        <f>FALSE()</f>
        <v>0</v>
      </c>
      <c r="G63" s="27" t="b">
        <f>FALSE()</f>
        <v>0</v>
      </c>
      <c r="H63" s="27" t="b">
        <f>FALSE()</f>
        <v>0</v>
      </c>
      <c r="I63" s="27" t="b">
        <f>FALSE()</f>
        <v>0</v>
      </c>
      <c r="J63" s="27" t="b">
        <f>FALSE()</f>
        <v>0</v>
      </c>
      <c r="K63" s="28"/>
      <c r="L63" s="29"/>
      <c r="M63" s="30" t="str">
        <f t="shared" si="11"/>
        <v/>
      </c>
      <c r="N63" s="30" t="str">
        <f t="shared" si="12"/>
        <v/>
      </c>
      <c r="O63" s="30" t="str">
        <f t="shared" si="13"/>
        <v/>
      </c>
      <c r="P63" s="30" t="str">
        <f t="shared" si="14"/>
        <v/>
      </c>
      <c r="Q63" s="30" t="str">
        <f t="shared" si="15"/>
        <v/>
      </c>
      <c r="R63" s="30" t="str">
        <f t="shared" si="16"/>
        <v/>
      </c>
      <c r="S63" s="30" t="str">
        <f t="shared" si="17"/>
        <v/>
      </c>
      <c r="T63" s="31" t="str">
        <f t="shared" si="18"/>
        <v/>
      </c>
      <c r="U63" s="32" t="str">
        <f t="shared" si="19"/>
        <v/>
      </c>
      <c r="V63" s="33">
        <v>0</v>
      </c>
      <c r="W63" s="34" t="str">
        <f t="shared" si="20"/>
        <v/>
      </c>
      <c r="X63" s="35" t="str">
        <f ca="1">IFERROR(RealTime_Prediction!B4,"")</f>
        <v>⚠ No confident prediction</v>
      </c>
      <c r="Y63" s="36" t="str">
        <f t="shared" ca="1" si="21"/>
        <v/>
      </c>
    </row>
    <row r="64" spans="1:25" ht="23.25" customHeight="1" x14ac:dyDescent="0.2">
      <c r="A64" s="26"/>
      <c r="B64" s="26"/>
      <c r="C64" s="74"/>
      <c r="D64" s="74"/>
      <c r="E64" s="27" t="b">
        <f>FALSE()</f>
        <v>0</v>
      </c>
      <c r="F64" s="27" t="b">
        <f>FALSE()</f>
        <v>0</v>
      </c>
      <c r="G64" s="27" t="b">
        <f>FALSE()</f>
        <v>0</v>
      </c>
      <c r="H64" s="27" t="b">
        <f>FALSE()</f>
        <v>0</v>
      </c>
      <c r="I64" s="27" t="b">
        <f>FALSE()</f>
        <v>0</v>
      </c>
      <c r="J64" s="27" t="b">
        <f>FALSE()</f>
        <v>0</v>
      </c>
      <c r="K64" s="28"/>
      <c r="L64" s="29"/>
      <c r="M64" s="30" t="str">
        <f t="shared" si="11"/>
        <v/>
      </c>
      <c r="N64" s="30" t="str">
        <f t="shared" si="12"/>
        <v/>
      </c>
      <c r="O64" s="30" t="str">
        <f t="shared" si="13"/>
        <v/>
      </c>
      <c r="P64" s="30" t="str">
        <f t="shared" si="14"/>
        <v/>
      </c>
      <c r="Q64" s="30" t="str">
        <f t="shared" si="15"/>
        <v/>
      </c>
      <c r="R64" s="30" t="str">
        <f t="shared" si="16"/>
        <v/>
      </c>
      <c r="S64" s="30" t="str">
        <f t="shared" si="17"/>
        <v/>
      </c>
      <c r="T64" s="31" t="str">
        <f t="shared" si="18"/>
        <v/>
      </c>
      <c r="U64" s="32" t="str">
        <f t="shared" si="19"/>
        <v/>
      </c>
      <c r="V64" s="33">
        <v>0</v>
      </c>
      <c r="W64" s="34" t="str">
        <f t="shared" si="20"/>
        <v/>
      </c>
      <c r="X64" s="35" t="str">
        <f ca="1">IFERROR(RealTime_Prediction!B4,"")</f>
        <v>⚠ No confident prediction</v>
      </c>
      <c r="Y64" s="36" t="str">
        <f t="shared" ca="1" si="21"/>
        <v/>
      </c>
    </row>
    <row r="65" spans="1:25" ht="23.25" customHeight="1" x14ac:dyDescent="0.2">
      <c r="A65" s="26"/>
      <c r="B65" s="26"/>
      <c r="C65" s="74"/>
      <c r="D65" s="74"/>
      <c r="E65" s="27" t="b">
        <f>FALSE()</f>
        <v>0</v>
      </c>
      <c r="F65" s="27" t="b">
        <f>FALSE()</f>
        <v>0</v>
      </c>
      <c r="G65" s="27" t="b">
        <f>FALSE()</f>
        <v>0</v>
      </c>
      <c r="H65" s="27" t="b">
        <f>FALSE()</f>
        <v>0</v>
      </c>
      <c r="I65" s="27" t="b">
        <f>FALSE()</f>
        <v>0</v>
      </c>
      <c r="J65" s="27" t="b">
        <f>FALSE()</f>
        <v>0</v>
      </c>
      <c r="K65" s="28"/>
      <c r="L65" s="29"/>
      <c r="M65" s="30" t="str">
        <f t="shared" si="11"/>
        <v/>
      </c>
      <c r="N65" s="30" t="str">
        <f t="shared" si="12"/>
        <v/>
      </c>
      <c r="O65" s="30" t="str">
        <f t="shared" si="13"/>
        <v/>
      </c>
      <c r="P65" s="30" t="str">
        <f t="shared" si="14"/>
        <v/>
      </c>
      <c r="Q65" s="30" t="str">
        <f t="shared" si="15"/>
        <v/>
      </c>
      <c r="R65" s="30" t="str">
        <f t="shared" si="16"/>
        <v/>
      </c>
      <c r="S65" s="30" t="str">
        <f t="shared" si="17"/>
        <v/>
      </c>
      <c r="T65" s="31" t="str">
        <f t="shared" si="18"/>
        <v/>
      </c>
      <c r="U65" s="32" t="str">
        <f t="shared" si="19"/>
        <v/>
      </c>
      <c r="V65" s="33">
        <v>0</v>
      </c>
      <c r="W65" s="34" t="str">
        <f t="shared" si="20"/>
        <v/>
      </c>
      <c r="X65" s="35" t="str">
        <f ca="1">IFERROR(RealTime_Prediction!B4,"")</f>
        <v>⚠ No confident prediction</v>
      </c>
      <c r="Y65" s="36" t="str">
        <f t="shared" ca="1" si="21"/>
        <v/>
      </c>
    </row>
    <row r="66" spans="1:25" ht="23.25" customHeight="1" x14ac:dyDescent="0.2">
      <c r="A66" s="26"/>
      <c r="B66" s="26"/>
      <c r="C66" s="74"/>
      <c r="D66" s="74"/>
      <c r="E66" s="27" t="b">
        <f>FALSE()</f>
        <v>0</v>
      </c>
      <c r="F66" s="27" t="b">
        <f>FALSE()</f>
        <v>0</v>
      </c>
      <c r="G66" s="27" t="b">
        <f>FALSE()</f>
        <v>0</v>
      </c>
      <c r="H66" s="27" t="b">
        <f>FALSE()</f>
        <v>0</v>
      </c>
      <c r="I66" s="27" t="b">
        <f>FALSE()</f>
        <v>0</v>
      </c>
      <c r="J66" s="27" t="b">
        <f>FALSE()</f>
        <v>0</v>
      </c>
      <c r="K66" s="28"/>
      <c r="L66" s="29"/>
      <c r="M66" s="30" t="str">
        <f t="shared" si="11"/>
        <v/>
      </c>
      <c r="N66" s="30" t="str">
        <f t="shared" si="12"/>
        <v/>
      </c>
      <c r="O66" s="30" t="str">
        <f t="shared" si="13"/>
        <v/>
      </c>
      <c r="P66" s="30" t="str">
        <f t="shared" si="14"/>
        <v/>
      </c>
      <c r="Q66" s="30" t="str">
        <f t="shared" si="15"/>
        <v/>
      </c>
      <c r="R66" s="30" t="str">
        <f t="shared" si="16"/>
        <v/>
      </c>
      <c r="S66" s="30" t="str">
        <f t="shared" si="17"/>
        <v/>
      </c>
      <c r="T66" s="31" t="str">
        <f t="shared" si="18"/>
        <v/>
      </c>
      <c r="U66" s="32" t="str">
        <f t="shared" si="19"/>
        <v/>
      </c>
      <c r="V66" s="33">
        <v>0</v>
      </c>
      <c r="W66" s="34" t="str">
        <f t="shared" si="20"/>
        <v/>
      </c>
      <c r="X66" s="35" t="str">
        <f ca="1">IFERROR(RealTime_Prediction!B4,"")</f>
        <v>⚠ No confident prediction</v>
      </c>
      <c r="Y66" s="36" t="str">
        <f t="shared" ca="1" si="21"/>
        <v/>
      </c>
    </row>
    <row r="67" spans="1:25" ht="23.25" customHeight="1" x14ac:dyDescent="0.2">
      <c r="A67" s="26"/>
      <c r="B67" s="26"/>
      <c r="C67" s="74"/>
      <c r="D67" s="74"/>
      <c r="E67" s="27" t="b">
        <f>FALSE()</f>
        <v>0</v>
      </c>
      <c r="F67" s="27" t="b">
        <f>FALSE()</f>
        <v>0</v>
      </c>
      <c r="G67" s="27" t="b">
        <f>FALSE()</f>
        <v>0</v>
      </c>
      <c r="H67" s="27" t="b">
        <f>FALSE()</f>
        <v>0</v>
      </c>
      <c r="I67" s="27" t="b">
        <f>FALSE()</f>
        <v>0</v>
      </c>
      <c r="J67" s="27" t="b">
        <f>FALSE()</f>
        <v>0</v>
      </c>
      <c r="K67" s="28"/>
      <c r="L67" s="29"/>
      <c r="M67" s="30" t="str">
        <f t="shared" ref="M67:M102" si="22">IFERROR(VALUE(TRIM(MID(SUBSTITUTE(K67,"-",REPT(" ",100)),(1-1)*100+1,100))),"")</f>
        <v/>
      </c>
      <c r="N67" s="30" t="str">
        <f t="shared" ref="N67:N102" si="23">IFERROR(VALUE(TRIM(MID(SUBSTITUTE(K67,"-",REPT(" ",100)),(2-1)*100+1,100))),"")</f>
        <v/>
      </c>
      <c r="O67" s="30" t="str">
        <f t="shared" ref="O67:O102" si="24">IFERROR(VALUE(TRIM(MID(SUBSTITUTE(K67,"-",REPT(" ",100)),(3-1)*100+1,100))),"")</f>
        <v/>
      </c>
      <c r="P67" s="30" t="str">
        <f t="shared" ref="P67:P102" si="25">IFERROR(VALUE(TRIM(MID(SUBSTITUTE(K67,"-",REPT(" ",100)),(4-1)*100+1,100))),"")</f>
        <v/>
      </c>
      <c r="Q67" s="30" t="str">
        <f t="shared" ref="Q67:Q102" si="26">IFERROR(VALUE(TRIM(MID(SUBSTITUTE(K67,"-",REPT(" ",100)),(5-1)*100+1,100))),"")</f>
        <v/>
      </c>
      <c r="R67" s="30" t="str">
        <f t="shared" ref="R67:R102" si="27">IFERROR(VALUE(TRIM(MID(SUBSTITUTE(K67,"-",REPT(" ",100)),(6-1)*100+1,100))),"")</f>
        <v/>
      </c>
      <c r="S67" s="30" t="str">
        <f t="shared" ref="S67:S102" si="28">IFERROR(VALUE(TRIM(MID(SUBSTITUTE(K67,"-",REPT(" ",100)),(7-1)*100+1,100))),"")</f>
        <v/>
      </c>
      <c r="T67" s="31" t="str">
        <f t="shared" ref="T67:T98" si="29">IFERROR(LOOKUP(2,1/(M67:S67&lt;&gt;""),M67:S67),"")</f>
        <v/>
      </c>
      <c r="U67" s="32" t="str">
        <f t="shared" ref="U67:U102" si="30">IF(K67="","",LEN(K67)-LEN(SUBSTITUTE(K67,"-",""))+1)</f>
        <v/>
      </c>
      <c r="V67" s="33">
        <v>0</v>
      </c>
      <c r="W67" s="34" t="str">
        <f t="shared" ref="W67:W98" si="31">IFERROR(IF(V67=0,T67,IFERROR(VALUE(TRIM(MID(SUBSTITUTE(K67,"-",REPT(" ",100)),(U67-V67-1)*100+1,100))),"")),"")</f>
        <v/>
      </c>
      <c r="X67" s="35" t="str">
        <f ca="1">IFERROR(RealTime_Prediction!B4,"")</f>
        <v>⚠ No confident prediction</v>
      </c>
      <c r="Y67" s="36" t="str">
        <f t="shared" ref="Y67:Y98" ca="1" si="32">IF(AND(X67&lt;&gt;"",L67&lt;&gt;""),IF(X67=L67,"✓ YES","✗ NO"),"")</f>
        <v/>
      </c>
    </row>
    <row r="68" spans="1:25" ht="23.25" customHeight="1" x14ac:dyDescent="0.2">
      <c r="A68" s="26"/>
      <c r="B68" s="26"/>
      <c r="C68" s="74"/>
      <c r="D68" s="74"/>
      <c r="E68" s="27" t="b">
        <f>FALSE()</f>
        <v>0</v>
      </c>
      <c r="F68" s="27" t="b">
        <f>FALSE()</f>
        <v>0</v>
      </c>
      <c r="G68" s="27" t="b">
        <f>FALSE()</f>
        <v>0</v>
      </c>
      <c r="H68" s="27" t="b">
        <f>FALSE()</f>
        <v>0</v>
      </c>
      <c r="I68" s="27" t="b">
        <f>FALSE()</f>
        <v>0</v>
      </c>
      <c r="J68" s="27" t="b">
        <f>FALSE()</f>
        <v>0</v>
      </c>
      <c r="K68" s="28"/>
      <c r="L68" s="29"/>
      <c r="M68" s="30" t="str">
        <f t="shared" si="22"/>
        <v/>
      </c>
      <c r="N68" s="30" t="str">
        <f t="shared" si="23"/>
        <v/>
      </c>
      <c r="O68" s="30" t="str">
        <f t="shared" si="24"/>
        <v/>
      </c>
      <c r="P68" s="30" t="str">
        <f t="shared" si="25"/>
        <v/>
      </c>
      <c r="Q68" s="30" t="str">
        <f t="shared" si="26"/>
        <v/>
      </c>
      <c r="R68" s="30" t="str">
        <f t="shared" si="27"/>
        <v/>
      </c>
      <c r="S68" s="30" t="str">
        <f t="shared" si="28"/>
        <v/>
      </c>
      <c r="T68" s="31" t="str">
        <f t="shared" si="29"/>
        <v/>
      </c>
      <c r="U68" s="32" t="str">
        <f t="shared" si="30"/>
        <v/>
      </c>
      <c r="V68" s="33">
        <v>0</v>
      </c>
      <c r="W68" s="34" t="str">
        <f t="shared" si="31"/>
        <v/>
      </c>
      <c r="X68" s="35" t="str">
        <f ca="1">IFERROR(RealTime_Prediction!B4,"")</f>
        <v>⚠ No confident prediction</v>
      </c>
      <c r="Y68" s="36" t="str">
        <f t="shared" ca="1" si="32"/>
        <v/>
      </c>
    </row>
    <row r="69" spans="1:25" ht="23.25" customHeight="1" x14ac:dyDescent="0.2">
      <c r="A69" s="26"/>
      <c r="B69" s="26"/>
      <c r="C69" s="74"/>
      <c r="D69" s="74"/>
      <c r="E69" s="27" t="b">
        <f>FALSE()</f>
        <v>0</v>
      </c>
      <c r="F69" s="27" t="b">
        <f>FALSE()</f>
        <v>0</v>
      </c>
      <c r="G69" s="27" t="b">
        <f>FALSE()</f>
        <v>0</v>
      </c>
      <c r="H69" s="27" t="b">
        <f>FALSE()</f>
        <v>0</v>
      </c>
      <c r="I69" s="27" t="b">
        <f>FALSE()</f>
        <v>0</v>
      </c>
      <c r="J69" s="27" t="b">
        <f>FALSE()</f>
        <v>0</v>
      </c>
      <c r="K69" s="28"/>
      <c r="L69" s="29"/>
      <c r="M69" s="30" t="str">
        <f t="shared" si="22"/>
        <v/>
      </c>
      <c r="N69" s="30" t="str">
        <f t="shared" si="23"/>
        <v/>
      </c>
      <c r="O69" s="30" t="str">
        <f t="shared" si="24"/>
        <v/>
      </c>
      <c r="P69" s="30" t="str">
        <f t="shared" si="25"/>
        <v/>
      </c>
      <c r="Q69" s="30" t="str">
        <f t="shared" si="26"/>
        <v/>
      </c>
      <c r="R69" s="30" t="str">
        <f t="shared" si="27"/>
        <v/>
      </c>
      <c r="S69" s="30" t="str">
        <f t="shared" si="28"/>
        <v/>
      </c>
      <c r="T69" s="31" t="str">
        <f t="shared" si="29"/>
        <v/>
      </c>
      <c r="U69" s="32" t="str">
        <f t="shared" si="30"/>
        <v/>
      </c>
      <c r="V69" s="33">
        <v>0</v>
      </c>
      <c r="W69" s="34" t="str">
        <f t="shared" si="31"/>
        <v/>
      </c>
      <c r="X69" s="35" t="str">
        <f ca="1">IFERROR(RealTime_Prediction!B4,"")</f>
        <v>⚠ No confident prediction</v>
      </c>
      <c r="Y69" s="36" t="str">
        <f t="shared" ca="1" si="32"/>
        <v/>
      </c>
    </row>
    <row r="70" spans="1:25" ht="23.25" customHeight="1" x14ac:dyDescent="0.2">
      <c r="A70" s="26"/>
      <c r="B70" s="26"/>
      <c r="C70" s="74"/>
      <c r="D70" s="74"/>
      <c r="E70" s="27" t="b">
        <f>FALSE()</f>
        <v>0</v>
      </c>
      <c r="F70" s="27" t="b">
        <f>FALSE()</f>
        <v>0</v>
      </c>
      <c r="G70" s="27" t="b">
        <f>FALSE()</f>
        <v>0</v>
      </c>
      <c r="H70" s="27" t="b">
        <f>FALSE()</f>
        <v>0</v>
      </c>
      <c r="I70" s="27" t="b">
        <f>FALSE()</f>
        <v>0</v>
      </c>
      <c r="J70" s="27" t="b">
        <f>FALSE()</f>
        <v>0</v>
      </c>
      <c r="K70" s="28"/>
      <c r="L70" s="29"/>
      <c r="M70" s="30" t="str">
        <f t="shared" si="22"/>
        <v/>
      </c>
      <c r="N70" s="30" t="str">
        <f t="shared" si="23"/>
        <v/>
      </c>
      <c r="O70" s="30" t="str">
        <f t="shared" si="24"/>
        <v/>
      </c>
      <c r="P70" s="30" t="str">
        <f t="shared" si="25"/>
        <v/>
      </c>
      <c r="Q70" s="30" t="str">
        <f t="shared" si="26"/>
        <v/>
      </c>
      <c r="R70" s="30" t="str">
        <f t="shared" si="27"/>
        <v/>
      </c>
      <c r="S70" s="30" t="str">
        <f t="shared" si="28"/>
        <v/>
      </c>
      <c r="T70" s="31" t="str">
        <f t="shared" si="29"/>
        <v/>
      </c>
      <c r="U70" s="32" t="str">
        <f t="shared" si="30"/>
        <v/>
      </c>
      <c r="V70" s="33">
        <v>0</v>
      </c>
      <c r="W70" s="34" t="str">
        <f t="shared" si="31"/>
        <v/>
      </c>
      <c r="X70" s="35" t="str">
        <f ca="1">IFERROR(RealTime_Prediction!B4,"")</f>
        <v>⚠ No confident prediction</v>
      </c>
      <c r="Y70" s="36" t="str">
        <f t="shared" ca="1" si="32"/>
        <v/>
      </c>
    </row>
    <row r="71" spans="1:25" ht="23.25" customHeight="1" x14ac:dyDescent="0.2">
      <c r="A71" s="26"/>
      <c r="B71" s="26"/>
      <c r="C71" s="74"/>
      <c r="D71" s="74"/>
      <c r="E71" s="27" t="b">
        <f>FALSE()</f>
        <v>0</v>
      </c>
      <c r="F71" s="27" t="b">
        <f>FALSE()</f>
        <v>0</v>
      </c>
      <c r="G71" s="27" t="b">
        <f>FALSE()</f>
        <v>0</v>
      </c>
      <c r="H71" s="27" t="b">
        <f>FALSE()</f>
        <v>0</v>
      </c>
      <c r="I71" s="27" t="b">
        <f>FALSE()</f>
        <v>0</v>
      </c>
      <c r="J71" s="27" t="b">
        <f>FALSE()</f>
        <v>0</v>
      </c>
      <c r="K71" s="28"/>
      <c r="L71" s="29"/>
      <c r="M71" s="30" t="str">
        <f t="shared" si="22"/>
        <v/>
      </c>
      <c r="N71" s="30" t="str">
        <f t="shared" si="23"/>
        <v/>
      </c>
      <c r="O71" s="30" t="str">
        <f t="shared" si="24"/>
        <v/>
      </c>
      <c r="P71" s="30" t="str">
        <f t="shared" si="25"/>
        <v/>
      </c>
      <c r="Q71" s="30" t="str">
        <f t="shared" si="26"/>
        <v/>
      </c>
      <c r="R71" s="30" t="str">
        <f t="shared" si="27"/>
        <v/>
      </c>
      <c r="S71" s="30" t="str">
        <f t="shared" si="28"/>
        <v/>
      </c>
      <c r="T71" s="31" t="str">
        <f t="shared" si="29"/>
        <v/>
      </c>
      <c r="U71" s="32" t="str">
        <f t="shared" si="30"/>
        <v/>
      </c>
      <c r="V71" s="33">
        <v>0</v>
      </c>
      <c r="W71" s="34" t="str">
        <f t="shared" si="31"/>
        <v/>
      </c>
      <c r="X71" s="35" t="str">
        <f ca="1">IFERROR(RealTime_Prediction!B4,"")</f>
        <v>⚠ No confident prediction</v>
      </c>
      <c r="Y71" s="36" t="str">
        <f t="shared" ca="1" si="32"/>
        <v/>
      </c>
    </row>
    <row r="72" spans="1:25" ht="23.25" customHeight="1" x14ac:dyDescent="0.2">
      <c r="A72" s="26"/>
      <c r="B72" s="26"/>
      <c r="C72" s="74"/>
      <c r="D72" s="74"/>
      <c r="E72" s="27" t="b">
        <f>FALSE()</f>
        <v>0</v>
      </c>
      <c r="F72" s="27" t="b">
        <f>FALSE()</f>
        <v>0</v>
      </c>
      <c r="G72" s="27" t="b">
        <f>FALSE()</f>
        <v>0</v>
      </c>
      <c r="H72" s="27" t="b">
        <f>FALSE()</f>
        <v>0</v>
      </c>
      <c r="I72" s="27" t="b">
        <f>FALSE()</f>
        <v>0</v>
      </c>
      <c r="J72" s="27" t="b">
        <f>FALSE()</f>
        <v>0</v>
      </c>
      <c r="K72" s="28"/>
      <c r="L72" s="29"/>
      <c r="M72" s="30" t="str">
        <f t="shared" si="22"/>
        <v/>
      </c>
      <c r="N72" s="30" t="str">
        <f t="shared" si="23"/>
        <v/>
      </c>
      <c r="O72" s="30" t="str">
        <f t="shared" si="24"/>
        <v/>
      </c>
      <c r="P72" s="30" t="str">
        <f t="shared" si="25"/>
        <v/>
      </c>
      <c r="Q72" s="30" t="str">
        <f t="shared" si="26"/>
        <v/>
      </c>
      <c r="R72" s="30" t="str">
        <f t="shared" si="27"/>
        <v/>
      </c>
      <c r="S72" s="30" t="str">
        <f t="shared" si="28"/>
        <v/>
      </c>
      <c r="T72" s="31" t="str">
        <f t="shared" si="29"/>
        <v/>
      </c>
      <c r="U72" s="32" t="str">
        <f t="shared" si="30"/>
        <v/>
      </c>
      <c r="V72" s="33">
        <v>0</v>
      </c>
      <c r="W72" s="34" t="str">
        <f t="shared" si="31"/>
        <v/>
      </c>
      <c r="X72" s="35" t="str">
        <f ca="1">IFERROR(RealTime_Prediction!B4,"")</f>
        <v>⚠ No confident prediction</v>
      </c>
      <c r="Y72" s="36" t="str">
        <f t="shared" ca="1" si="32"/>
        <v/>
      </c>
    </row>
    <row r="73" spans="1:25" ht="23.25" customHeight="1" x14ac:dyDescent="0.2">
      <c r="A73" s="26"/>
      <c r="B73" s="26"/>
      <c r="C73" s="74"/>
      <c r="D73" s="74"/>
      <c r="E73" s="27" t="b">
        <f>FALSE()</f>
        <v>0</v>
      </c>
      <c r="F73" s="27" t="b">
        <f>FALSE()</f>
        <v>0</v>
      </c>
      <c r="G73" s="27" t="b">
        <f>FALSE()</f>
        <v>0</v>
      </c>
      <c r="H73" s="27" t="b">
        <f>FALSE()</f>
        <v>0</v>
      </c>
      <c r="I73" s="27" t="b">
        <f>FALSE()</f>
        <v>0</v>
      </c>
      <c r="J73" s="27" t="b">
        <f>FALSE()</f>
        <v>0</v>
      </c>
      <c r="K73" s="28"/>
      <c r="L73" s="29"/>
      <c r="M73" s="30" t="str">
        <f t="shared" si="22"/>
        <v/>
      </c>
      <c r="N73" s="30" t="str">
        <f t="shared" si="23"/>
        <v/>
      </c>
      <c r="O73" s="30" t="str">
        <f t="shared" si="24"/>
        <v/>
      </c>
      <c r="P73" s="30" t="str">
        <f t="shared" si="25"/>
        <v/>
      </c>
      <c r="Q73" s="30" t="str">
        <f t="shared" si="26"/>
        <v/>
      </c>
      <c r="R73" s="30" t="str">
        <f t="shared" si="27"/>
        <v/>
      </c>
      <c r="S73" s="30" t="str">
        <f t="shared" si="28"/>
        <v/>
      </c>
      <c r="T73" s="31" t="str">
        <f t="shared" si="29"/>
        <v/>
      </c>
      <c r="U73" s="32" t="str">
        <f t="shared" si="30"/>
        <v/>
      </c>
      <c r="V73" s="33">
        <v>0</v>
      </c>
      <c r="W73" s="34" t="str">
        <f t="shared" si="31"/>
        <v/>
      </c>
      <c r="X73" s="35" t="str">
        <f ca="1">IFERROR(RealTime_Prediction!B4,"")</f>
        <v>⚠ No confident prediction</v>
      </c>
      <c r="Y73" s="36" t="str">
        <f t="shared" ca="1" si="32"/>
        <v/>
      </c>
    </row>
    <row r="74" spans="1:25" ht="23.25" customHeight="1" x14ac:dyDescent="0.2">
      <c r="A74" s="26"/>
      <c r="B74" s="26"/>
      <c r="C74" s="74"/>
      <c r="D74" s="74"/>
      <c r="E74" s="27" t="b">
        <f>FALSE()</f>
        <v>0</v>
      </c>
      <c r="F74" s="27" t="b">
        <f>FALSE()</f>
        <v>0</v>
      </c>
      <c r="G74" s="27" t="b">
        <f>FALSE()</f>
        <v>0</v>
      </c>
      <c r="H74" s="27" t="b">
        <f>FALSE()</f>
        <v>0</v>
      </c>
      <c r="I74" s="27" t="b">
        <f>FALSE()</f>
        <v>0</v>
      </c>
      <c r="J74" s="27" t="b">
        <f>FALSE()</f>
        <v>0</v>
      </c>
      <c r="K74" s="28"/>
      <c r="L74" s="29"/>
      <c r="M74" s="30" t="str">
        <f t="shared" si="22"/>
        <v/>
      </c>
      <c r="N74" s="30" t="str">
        <f t="shared" si="23"/>
        <v/>
      </c>
      <c r="O74" s="30" t="str">
        <f t="shared" si="24"/>
        <v/>
      </c>
      <c r="P74" s="30" t="str">
        <f t="shared" si="25"/>
        <v/>
      </c>
      <c r="Q74" s="30" t="str">
        <f t="shared" si="26"/>
        <v/>
      </c>
      <c r="R74" s="30" t="str">
        <f t="shared" si="27"/>
        <v/>
      </c>
      <c r="S74" s="30" t="str">
        <f t="shared" si="28"/>
        <v/>
      </c>
      <c r="T74" s="31" t="str">
        <f t="shared" si="29"/>
        <v/>
      </c>
      <c r="U74" s="32" t="str">
        <f t="shared" si="30"/>
        <v/>
      </c>
      <c r="V74" s="33">
        <v>0</v>
      </c>
      <c r="W74" s="34" t="str">
        <f t="shared" si="31"/>
        <v/>
      </c>
      <c r="X74" s="35" t="str">
        <f ca="1">IFERROR(RealTime_Prediction!B4,"")</f>
        <v>⚠ No confident prediction</v>
      </c>
      <c r="Y74" s="36" t="str">
        <f t="shared" ca="1" si="32"/>
        <v/>
      </c>
    </row>
    <row r="75" spans="1:25" ht="23.25" customHeight="1" x14ac:dyDescent="0.2">
      <c r="A75" s="26"/>
      <c r="B75" s="26"/>
      <c r="C75" s="74"/>
      <c r="D75" s="74"/>
      <c r="E75" s="27" t="b">
        <f>FALSE()</f>
        <v>0</v>
      </c>
      <c r="F75" s="27" t="b">
        <f>FALSE()</f>
        <v>0</v>
      </c>
      <c r="G75" s="27" t="b">
        <f>FALSE()</f>
        <v>0</v>
      </c>
      <c r="H75" s="27" t="b">
        <f>FALSE()</f>
        <v>0</v>
      </c>
      <c r="I75" s="27" t="b">
        <f>FALSE()</f>
        <v>0</v>
      </c>
      <c r="J75" s="27" t="b">
        <f>FALSE()</f>
        <v>0</v>
      </c>
      <c r="K75" s="28"/>
      <c r="L75" s="29"/>
      <c r="M75" s="30" t="str">
        <f t="shared" si="22"/>
        <v/>
      </c>
      <c r="N75" s="30" t="str">
        <f t="shared" si="23"/>
        <v/>
      </c>
      <c r="O75" s="30" t="str">
        <f t="shared" si="24"/>
        <v/>
      </c>
      <c r="P75" s="30" t="str">
        <f t="shared" si="25"/>
        <v/>
      </c>
      <c r="Q75" s="30" t="str">
        <f t="shared" si="26"/>
        <v/>
      </c>
      <c r="R75" s="30" t="str">
        <f t="shared" si="27"/>
        <v/>
      </c>
      <c r="S75" s="30" t="str">
        <f t="shared" si="28"/>
        <v/>
      </c>
      <c r="T75" s="31" t="str">
        <f t="shared" si="29"/>
        <v/>
      </c>
      <c r="U75" s="32" t="str">
        <f t="shared" si="30"/>
        <v/>
      </c>
      <c r="V75" s="33">
        <v>0</v>
      </c>
      <c r="W75" s="34" t="str">
        <f t="shared" si="31"/>
        <v/>
      </c>
      <c r="X75" s="35" t="str">
        <f ca="1">IFERROR(RealTime_Prediction!B4,"")</f>
        <v>⚠ No confident prediction</v>
      </c>
      <c r="Y75" s="36" t="str">
        <f t="shared" ca="1" si="32"/>
        <v/>
      </c>
    </row>
    <row r="76" spans="1:25" ht="23.25" customHeight="1" x14ac:dyDescent="0.2">
      <c r="A76" s="26"/>
      <c r="B76" s="26"/>
      <c r="C76" s="74"/>
      <c r="D76" s="74"/>
      <c r="E76" s="27" t="b">
        <f>FALSE()</f>
        <v>0</v>
      </c>
      <c r="F76" s="27" t="b">
        <f>FALSE()</f>
        <v>0</v>
      </c>
      <c r="G76" s="27" t="b">
        <f>FALSE()</f>
        <v>0</v>
      </c>
      <c r="H76" s="27" t="b">
        <f>FALSE()</f>
        <v>0</v>
      </c>
      <c r="I76" s="27" t="b">
        <f>FALSE()</f>
        <v>0</v>
      </c>
      <c r="J76" s="27" t="b">
        <f>FALSE()</f>
        <v>0</v>
      </c>
      <c r="K76" s="28"/>
      <c r="L76" s="29"/>
      <c r="M76" s="30" t="str">
        <f t="shared" si="22"/>
        <v/>
      </c>
      <c r="N76" s="30" t="str">
        <f t="shared" si="23"/>
        <v/>
      </c>
      <c r="O76" s="30" t="str">
        <f t="shared" si="24"/>
        <v/>
      </c>
      <c r="P76" s="30" t="str">
        <f t="shared" si="25"/>
        <v/>
      </c>
      <c r="Q76" s="30" t="str">
        <f t="shared" si="26"/>
        <v/>
      </c>
      <c r="R76" s="30" t="str">
        <f t="shared" si="27"/>
        <v/>
      </c>
      <c r="S76" s="30" t="str">
        <f t="shared" si="28"/>
        <v/>
      </c>
      <c r="T76" s="31" t="str">
        <f t="shared" si="29"/>
        <v/>
      </c>
      <c r="U76" s="32" t="str">
        <f t="shared" si="30"/>
        <v/>
      </c>
      <c r="V76" s="33">
        <v>0</v>
      </c>
      <c r="W76" s="34" t="str">
        <f t="shared" si="31"/>
        <v/>
      </c>
      <c r="X76" s="35" t="str">
        <f ca="1">IFERROR(RealTime_Prediction!B4,"")</f>
        <v>⚠ No confident prediction</v>
      </c>
      <c r="Y76" s="36" t="str">
        <f t="shared" ca="1" si="32"/>
        <v/>
      </c>
    </row>
    <row r="77" spans="1:25" ht="23.25" customHeight="1" x14ac:dyDescent="0.2">
      <c r="A77" s="26"/>
      <c r="B77" s="26"/>
      <c r="C77" s="74"/>
      <c r="D77" s="74"/>
      <c r="E77" s="27" t="b">
        <f>FALSE()</f>
        <v>0</v>
      </c>
      <c r="F77" s="27" t="b">
        <f>FALSE()</f>
        <v>0</v>
      </c>
      <c r="G77" s="27" t="b">
        <f>FALSE()</f>
        <v>0</v>
      </c>
      <c r="H77" s="27" t="b">
        <f>FALSE()</f>
        <v>0</v>
      </c>
      <c r="I77" s="27" t="b">
        <f>FALSE()</f>
        <v>0</v>
      </c>
      <c r="J77" s="27" t="b">
        <f>FALSE()</f>
        <v>0</v>
      </c>
      <c r="K77" s="28"/>
      <c r="L77" s="29"/>
      <c r="M77" s="30" t="str">
        <f t="shared" si="22"/>
        <v/>
      </c>
      <c r="N77" s="30" t="str">
        <f t="shared" si="23"/>
        <v/>
      </c>
      <c r="O77" s="30" t="str">
        <f t="shared" si="24"/>
        <v/>
      </c>
      <c r="P77" s="30" t="str">
        <f t="shared" si="25"/>
        <v/>
      </c>
      <c r="Q77" s="30" t="str">
        <f t="shared" si="26"/>
        <v/>
      </c>
      <c r="R77" s="30" t="str">
        <f t="shared" si="27"/>
        <v/>
      </c>
      <c r="S77" s="30" t="str">
        <f t="shared" si="28"/>
        <v/>
      </c>
      <c r="T77" s="31" t="str">
        <f t="shared" si="29"/>
        <v/>
      </c>
      <c r="U77" s="32" t="str">
        <f t="shared" si="30"/>
        <v/>
      </c>
      <c r="V77" s="33">
        <v>0</v>
      </c>
      <c r="W77" s="34" t="str">
        <f t="shared" si="31"/>
        <v/>
      </c>
      <c r="X77" s="35" t="str">
        <f ca="1">IFERROR(RealTime_Prediction!B4,"")</f>
        <v>⚠ No confident prediction</v>
      </c>
      <c r="Y77" s="36" t="str">
        <f t="shared" ca="1" si="32"/>
        <v/>
      </c>
    </row>
    <row r="78" spans="1:25" ht="23.25" customHeight="1" x14ac:dyDescent="0.2">
      <c r="A78" s="26"/>
      <c r="B78" s="26"/>
      <c r="C78" s="74"/>
      <c r="D78" s="74"/>
      <c r="E78" s="27" t="b">
        <f>FALSE()</f>
        <v>0</v>
      </c>
      <c r="F78" s="27" t="b">
        <f>FALSE()</f>
        <v>0</v>
      </c>
      <c r="G78" s="27" t="b">
        <f>FALSE()</f>
        <v>0</v>
      </c>
      <c r="H78" s="27" t="b">
        <f>FALSE()</f>
        <v>0</v>
      </c>
      <c r="I78" s="27" t="b">
        <f>FALSE()</f>
        <v>0</v>
      </c>
      <c r="J78" s="27" t="b">
        <f>FALSE()</f>
        <v>0</v>
      </c>
      <c r="K78" s="28"/>
      <c r="L78" s="29"/>
      <c r="M78" s="30" t="str">
        <f t="shared" si="22"/>
        <v/>
      </c>
      <c r="N78" s="30" t="str">
        <f t="shared" si="23"/>
        <v/>
      </c>
      <c r="O78" s="30" t="str">
        <f t="shared" si="24"/>
        <v/>
      </c>
      <c r="P78" s="30" t="str">
        <f t="shared" si="25"/>
        <v/>
      </c>
      <c r="Q78" s="30" t="str">
        <f t="shared" si="26"/>
        <v/>
      </c>
      <c r="R78" s="30" t="str">
        <f t="shared" si="27"/>
        <v/>
      </c>
      <c r="S78" s="30" t="str">
        <f t="shared" si="28"/>
        <v/>
      </c>
      <c r="T78" s="31" t="str">
        <f t="shared" si="29"/>
        <v/>
      </c>
      <c r="U78" s="32" t="str">
        <f t="shared" si="30"/>
        <v/>
      </c>
      <c r="V78" s="33">
        <v>0</v>
      </c>
      <c r="W78" s="34" t="str">
        <f t="shared" si="31"/>
        <v/>
      </c>
      <c r="X78" s="35" t="str">
        <f ca="1">IFERROR(RealTime_Prediction!B4,"")</f>
        <v>⚠ No confident prediction</v>
      </c>
      <c r="Y78" s="36" t="str">
        <f t="shared" ca="1" si="32"/>
        <v/>
      </c>
    </row>
    <row r="79" spans="1:25" ht="23.25" customHeight="1" x14ac:dyDescent="0.2">
      <c r="A79" s="26"/>
      <c r="B79" s="26"/>
      <c r="C79" s="74"/>
      <c r="D79" s="74"/>
      <c r="E79" s="27" t="b">
        <f>FALSE()</f>
        <v>0</v>
      </c>
      <c r="F79" s="27" t="b">
        <f>FALSE()</f>
        <v>0</v>
      </c>
      <c r="G79" s="27" t="b">
        <f>FALSE()</f>
        <v>0</v>
      </c>
      <c r="H79" s="27" t="b">
        <f>FALSE()</f>
        <v>0</v>
      </c>
      <c r="I79" s="27" t="b">
        <f>FALSE()</f>
        <v>0</v>
      </c>
      <c r="J79" s="27" t="b">
        <f>FALSE()</f>
        <v>0</v>
      </c>
      <c r="K79" s="28"/>
      <c r="L79" s="29"/>
      <c r="M79" s="30" t="str">
        <f t="shared" si="22"/>
        <v/>
      </c>
      <c r="N79" s="30" t="str">
        <f t="shared" si="23"/>
        <v/>
      </c>
      <c r="O79" s="30" t="str">
        <f t="shared" si="24"/>
        <v/>
      </c>
      <c r="P79" s="30" t="str">
        <f t="shared" si="25"/>
        <v/>
      </c>
      <c r="Q79" s="30" t="str">
        <f t="shared" si="26"/>
        <v/>
      </c>
      <c r="R79" s="30" t="str">
        <f t="shared" si="27"/>
        <v/>
      </c>
      <c r="S79" s="30" t="str">
        <f t="shared" si="28"/>
        <v/>
      </c>
      <c r="T79" s="31" t="str">
        <f t="shared" si="29"/>
        <v/>
      </c>
      <c r="U79" s="32" t="str">
        <f t="shared" si="30"/>
        <v/>
      </c>
      <c r="V79" s="33">
        <v>0</v>
      </c>
      <c r="W79" s="34" t="str">
        <f t="shared" si="31"/>
        <v/>
      </c>
      <c r="X79" s="35" t="str">
        <f ca="1">IFERROR(RealTime_Prediction!B4,"")</f>
        <v>⚠ No confident prediction</v>
      </c>
      <c r="Y79" s="36" t="str">
        <f t="shared" ca="1" si="32"/>
        <v/>
      </c>
    </row>
    <row r="80" spans="1:25" ht="23.25" customHeight="1" x14ac:dyDescent="0.2">
      <c r="A80" s="26"/>
      <c r="B80" s="26"/>
      <c r="C80" s="74"/>
      <c r="D80" s="74"/>
      <c r="E80" s="27" t="b">
        <f>FALSE()</f>
        <v>0</v>
      </c>
      <c r="F80" s="27" t="b">
        <f>FALSE()</f>
        <v>0</v>
      </c>
      <c r="G80" s="27" t="b">
        <f>FALSE()</f>
        <v>0</v>
      </c>
      <c r="H80" s="27" t="b">
        <f>FALSE()</f>
        <v>0</v>
      </c>
      <c r="I80" s="27" t="b">
        <f>FALSE()</f>
        <v>0</v>
      </c>
      <c r="J80" s="27" t="b">
        <f>FALSE()</f>
        <v>0</v>
      </c>
      <c r="K80" s="28"/>
      <c r="L80" s="29"/>
      <c r="M80" s="30" t="str">
        <f t="shared" si="22"/>
        <v/>
      </c>
      <c r="N80" s="30" t="str">
        <f t="shared" si="23"/>
        <v/>
      </c>
      <c r="O80" s="30" t="str">
        <f t="shared" si="24"/>
        <v/>
      </c>
      <c r="P80" s="30" t="str">
        <f t="shared" si="25"/>
        <v/>
      </c>
      <c r="Q80" s="30" t="str">
        <f t="shared" si="26"/>
        <v/>
      </c>
      <c r="R80" s="30" t="str">
        <f t="shared" si="27"/>
        <v/>
      </c>
      <c r="S80" s="30" t="str">
        <f t="shared" si="28"/>
        <v/>
      </c>
      <c r="T80" s="31" t="str">
        <f t="shared" si="29"/>
        <v/>
      </c>
      <c r="U80" s="32" t="str">
        <f t="shared" si="30"/>
        <v/>
      </c>
      <c r="V80" s="33">
        <v>0</v>
      </c>
      <c r="W80" s="34" t="str">
        <f t="shared" si="31"/>
        <v/>
      </c>
      <c r="X80" s="35" t="str">
        <f ca="1">IFERROR(RealTime_Prediction!B4,"")</f>
        <v>⚠ No confident prediction</v>
      </c>
      <c r="Y80" s="36" t="str">
        <f t="shared" ca="1" si="32"/>
        <v/>
      </c>
    </row>
    <row r="81" spans="1:25" ht="23.25" customHeight="1" x14ac:dyDescent="0.2">
      <c r="A81" s="26"/>
      <c r="B81" s="26"/>
      <c r="C81" s="74"/>
      <c r="D81" s="74"/>
      <c r="E81" s="27" t="b">
        <f>FALSE()</f>
        <v>0</v>
      </c>
      <c r="F81" s="27" t="b">
        <f>FALSE()</f>
        <v>0</v>
      </c>
      <c r="G81" s="27" t="b">
        <f>FALSE()</f>
        <v>0</v>
      </c>
      <c r="H81" s="27" t="b">
        <f>FALSE()</f>
        <v>0</v>
      </c>
      <c r="I81" s="27" t="b">
        <f>FALSE()</f>
        <v>0</v>
      </c>
      <c r="J81" s="27" t="b">
        <f>FALSE()</f>
        <v>0</v>
      </c>
      <c r="K81" s="28"/>
      <c r="L81" s="29"/>
      <c r="M81" s="30" t="str">
        <f t="shared" si="22"/>
        <v/>
      </c>
      <c r="N81" s="30" t="str">
        <f t="shared" si="23"/>
        <v/>
      </c>
      <c r="O81" s="30" t="str">
        <f t="shared" si="24"/>
        <v/>
      </c>
      <c r="P81" s="30" t="str">
        <f t="shared" si="25"/>
        <v/>
      </c>
      <c r="Q81" s="30" t="str">
        <f t="shared" si="26"/>
        <v/>
      </c>
      <c r="R81" s="30" t="str">
        <f t="shared" si="27"/>
        <v/>
      </c>
      <c r="S81" s="30" t="str">
        <f t="shared" si="28"/>
        <v/>
      </c>
      <c r="T81" s="31" t="str">
        <f t="shared" si="29"/>
        <v/>
      </c>
      <c r="U81" s="32" t="str">
        <f t="shared" si="30"/>
        <v/>
      </c>
      <c r="V81" s="33">
        <v>0</v>
      </c>
      <c r="W81" s="34" t="str">
        <f t="shared" si="31"/>
        <v/>
      </c>
      <c r="X81" s="35" t="str">
        <f ca="1">IFERROR(RealTime_Prediction!B4,"")</f>
        <v>⚠ No confident prediction</v>
      </c>
      <c r="Y81" s="36" t="str">
        <f t="shared" ca="1" si="32"/>
        <v/>
      </c>
    </row>
    <row r="82" spans="1:25" ht="23.25" customHeight="1" x14ac:dyDescent="0.2">
      <c r="A82" s="26"/>
      <c r="B82" s="26"/>
      <c r="C82" s="74"/>
      <c r="D82" s="74"/>
      <c r="E82" s="27" t="b">
        <f>FALSE()</f>
        <v>0</v>
      </c>
      <c r="F82" s="27" t="b">
        <f>FALSE()</f>
        <v>0</v>
      </c>
      <c r="G82" s="27" t="b">
        <f>FALSE()</f>
        <v>0</v>
      </c>
      <c r="H82" s="27" t="b">
        <f>FALSE()</f>
        <v>0</v>
      </c>
      <c r="I82" s="27" t="b">
        <f>FALSE()</f>
        <v>0</v>
      </c>
      <c r="J82" s="27" t="b">
        <f>FALSE()</f>
        <v>0</v>
      </c>
      <c r="K82" s="28"/>
      <c r="L82" s="29"/>
      <c r="M82" s="30" t="str">
        <f t="shared" si="22"/>
        <v/>
      </c>
      <c r="N82" s="30" t="str">
        <f t="shared" si="23"/>
        <v/>
      </c>
      <c r="O82" s="30" t="str">
        <f t="shared" si="24"/>
        <v/>
      </c>
      <c r="P82" s="30" t="str">
        <f t="shared" si="25"/>
        <v/>
      </c>
      <c r="Q82" s="30" t="str">
        <f t="shared" si="26"/>
        <v/>
      </c>
      <c r="R82" s="30" t="str">
        <f t="shared" si="27"/>
        <v/>
      </c>
      <c r="S82" s="30" t="str">
        <f t="shared" si="28"/>
        <v/>
      </c>
      <c r="T82" s="31" t="str">
        <f t="shared" si="29"/>
        <v/>
      </c>
      <c r="U82" s="32" t="str">
        <f t="shared" si="30"/>
        <v/>
      </c>
      <c r="V82" s="33">
        <v>0</v>
      </c>
      <c r="W82" s="34" t="str">
        <f t="shared" si="31"/>
        <v/>
      </c>
      <c r="X82" s="35" t="str">
        <f ca="1">IFERROR(RealTime_Prediction!B4,"")</f>
        <v>⚠ No confident prediction</v>
      </c>
      <c r="Y82" s="36" t="str">
        <f t="shared" ca="1" si="32"/>
        <v/>
      </c>
    </row>
    <row r="83" spans="1:25" ht="23.25" customHeight="1" x14ac:dyDescent="0.2">
      <c r="A83" s="26"/>
      <c r="B83" s="26"/>
      <c r="C83" s="74"/>
      <c r="D83" s="74"/>
      <c r="E83" s="27" t="b">
        <f>FALSE()</f>
        <v>0</v>
      </c>
      <c r="F83" s="27" t="b">
        <f>FALSE()</f>
        <v>0</v>
      </c>
      <c r="G83" s="27" t="b">
        <f>FALSE()</f>
        <v>0</v>
      </c>
      <c r="H83" s="27" t="b">
        <f>FALSE()</f>
        <v>0</v>
      </c>
      <c r="I83" s="27" t="b">
        <f>FALSE()</f>
        <v>0</v>
      </c>
      <c r="J83" s="27" t="b">
        <f>FALSE()</f>
        <v>0</v>
      </c>
      <c r="K83" s="28"/>
      <c r="L83" s="29"/>
      <c r="M83" s="30" t="str">
        <f t="shared" si="22"/>
        <v/>
      </c>
      <c r="N83" s="30" t="str">
        <f t="shared" si="23"/>
        <v/>
      </c>
      <c r="O83" s="30" t="str">
        <f t="shared" si="24"/>
        <v/>
      </c>
      <c r="P83" s="30" t="str">
        <f t="shared" si="25"/>
        <v/>
      </c>
      <c r="Q83" s="30" t="str">
        <f t="shared" si="26"/>
        <v/>
      </c>
      <c r="R83" s="30" t="str">
        <f t="shared" si="27"/>
        <v/>
      </c>
      <c r="S83" s="30" t="str">
        <f t="shared" si="28"/>
        <v/>
      </c>
      <c r="T83" s="31" t="str">
        <f t="shared" si="29"/>
        <v/>
      </c>
      <c r="U83" s="32" t="str">
        <f t="shared" si="30"/>
        <v/>
      </c>
      <c r="V83" s="33">
        <v>0</v>
      </c>
      <c r="W83" s="34" t="str">
        <f t="shared" si="31"/>
        <v/>
      </c>
      <c r="X83" s="35" t="str">
        <f ca="1">IFERROR(RealTime_Prediction!B4,"")</f>
        <v>⚠ No confident prediction</v>
      </c>
      <c r="Y83" s="36" t="str">
        <f t="shared" ca="1" si="32"/>
        <v/>
      </c>
    </row>
    <row r="84" spans="1:25" ht="23.25" customHeight="1" x14ac:dyDescent="0.2">
      <c r="A84" s="26"/>
      <c r="B84" s="26"/>
      <c r="C84" s="74"/>
      <c r="D84" s="74"/>
      <c r="E84" s="27" t="b">
        <f>FALSE()</f>
        <v>0</v>
      </c>
      <c r="F84" s="27" t="b">
        <f>FALSE()</f>
        <v>0</v>
      </c>
      <c r="G84" s="27" t="b">
        <f>FALSE()</f>
        <v>0</v>
      </c>
      <c r="H84" s="27" t="b">
        <f>FALSE()</f>
        <v>0</v>
      </c>
      <c r="I84" s="27" t="b">
        <f>FALSE()</f>
        <v>0</v>
      </c>
      <c r="J84" s="27" t="b">
        <f>FALSE()</f>
        <v>0</v>
      </c>
      <c r="K84" s="28"/>
      <c r="L84" s="29"/>
      <c r="M84" s="30" t="str">
        <f t="shared" si="22"/>
        <v/>
      </c>
      <c r="N84" s="30" t="str">
        <f t="shared" si="23"/>
        <v/>
      </c>
      <c r="O84" s="30" t="str">
        <f t="shared" si="24"/>
        <v/>
      </c>
      <c r="P84" s="30" t="str">
        <f t="shared" si="25"/>
        <v/>
      </c>
      <c r="Q84" s="30" t="str">
        <f t="shared" si="26"/>
        <v/>
      </c>
      <c r="R84" s="30" t="str">
        <f t="shared" si="27"/>
        <v/>
      </c>
      <c r="S84" s="30" t="str">
        <f t="shared" si="28"/>
        <v/>
      </c>
      <c r="T84" s="31" t="str">
        <f t="shared" si="29"/>
        <v/>
      </c>
      <c r="U84" s="32" t="str">
        <f t="shared" si="30"/>
        <v/>
      </c>
      <c r="V84" s="33">
        <v>0</v>
      </c>
      <c r="W84" s="34" t="str">
        <f t="shared" si="31"/>
        <v/>
      </c>
      <c r="X84" s="35" t="str">
        <f ca="1">IFERROR(RealTime_Prediction!B4,"")</f>
        <v>⚠ No confident prediction</v>
      </c>
      <c r="Y84" s="36" t="str">
        <f t="shared" ca="1" si="32"/>
        <v/>
      </c>
    </row>
    <row r="85" spans="1:25" ht="23.25" customHeight="1" x14ac:dyDescent="0.2">
      <c r="A85" s="26"/>
      <c r="B85" s="26"/>
      <c r="C85" s="74"/>
      <c r="D85" s="74"/>
      <c r="E85" s="27" t="b">
        <f>FALSE()</f>
        <v>0</v>
      </c>
      <c r="F85" s="27" t="b">
        <f>FALSE()</f>
        <v>0</v>
      </c>
      <c r="G85" s="27" t="b">
        <f>FALSE()</f>
        <v>0</v>
      </c>
      <c r="H85" s="27" t="b">
        <f>FALSE()</f>
        <v>0</v>
      </c>
      <c r="I85" s="27" t="b">
        <f>FALSE()</f>
        <v>0</v>
      </c>
      <c r="J85" s="27" t="b">
        <f>FALSE()</f>
        <v>0</v>
      </c>
      <c r="K85" s="28"/>
      <c r="L85" s="29"/>
      <c r="M85" s="30" t="str">
        <f t="shared" si="22"/>
        <v/>
      </c>
      <c r="N85" s="30" t="str">
        <f t="shared" si="23"/>
        <v/>
      </c>
      <c r="O85" s="30" t="str">
        <f t="shared" si="24"/>
        <v/>
      </c>
      <c r="P85" s="30" t="str">
        <f t="shared" si="25"/>
        <v/>
      </c>
      <c r="Q85" s="30" t="str">
        <f t="shared" si="26"/>
        <v/>
      </c>
      <c r="R85" s="30" t="str">
        <f t="shared" si="27"/>
        <v/>
      </c>
      <c r="S85" s="30" t="str">
        <f t="shared" si="28"/>
        <v/>
      </c>
      <c r="T85" s="31" t="str">
        <f t="shared" si="29"/>
        <v/>
      </c>
      <c r="U85" s="32" t="str">
        <f t="shared" si="30"/>
        <v/>
      </c>
      <c r="V85" s="33">
        <v>0</v>
      </c>
      <c r="W85" s="34" t="str">
        <f t="shared" si="31"/>
        <v/>
      </c>
      <c r="X85" s="35" t="str">
        <f ca="1">IFERROR(RealTime_Prediction!B4,"")</f>
        <v>⚠ No confident prediction</v>
      </c>
      <c r="Y85" s="36" t="str">
        <f t="shared" ca="1" si="32"/>
        <v/>
      </c>
    </row>
    <row r="86" spans="1:25" ht="23.25" customHeight="1" x14ac:dyDescent="0.2">
      <c r="A86" s="26"/>
      <c r="B86" s="26"/>
      <c r="C86" s="74"/>
      <c r="D86" s="74"/>
      <c r="E86" s="27" t="b">
        <f>FALSE()</f>
        <v>0</v>
      </c>
      <c r="F86" s="27" t="b">
        <f>FALSE()</f>
        <v>0</v>
      </c>
      <c r="G86" s="27" t="b">
        <f>FALSE()</f>
        <v>0</v>
      </c>
      <c r="H86" s="27" t="b">
        <f>FALSE()</f>
        <v>0</v>
      </c>
      <c r="I86" s="27" t="b">
        <f>FALSE()</f>
        <v>0</v>
      </c>
      <c r="J86" s="27" t="b">
        <f>FALSE()</f>
        <v>0</v>
      </c>
      <c r="K86" s="28"/>
      <c r="L86" s="29"/>
      <c r="M86" s="30" t="str">
        <f t="shared" si="22"/>
        <v/>
      </c>
      <c r="N86" s="30" t="str">
        <f t="shared" si="23"/>
        <v/>
      </c>
      <c r="O86" s="30" t="str">
        <f t="shared" si="24"/>
        <v/>
      </c>
      <c r="P86" s="30" t="str">
        <f t="shared" si="25"/>
        <v/>
      </c>
      <c r="Q86" s="30" t="str">
        <f t="shared" si="26"/>
        <v/>
      </c>
      <c r="R86" s="30" t="str">
        <f t="shared" si="27"/>
        <v/>
      </c>
      <c r="S86" s="30" t="str">
        <f t="shared" si="28"/>
        <v/>
      </c>
      <c r="T86" s="31" t="str">
        <f t="shared" si="29"/>
        <v/>
      </c>
      <c r="U86" s="32" t="str">
        <f t="shared" si="30"/>
        <v/>
      </c>
      <c r="V86" s="33">
        <v>0</v>
      </c>
      <c r="W86" s="34" t="str">
        <f t="shared" si="31"/>
        <v/>
      </c>
      <c r="X86" s="35" t="str">
        <f ca="1">IFERROR(RealTime_Prediction!B4,"")</f>
        <v>⚠ No confident prediction</v>
      </c>
      <c r="Y86" s="36" t="str">
        <f t="shared" ca="1" si="32"/>
        <v/>
      </c>
    </row>
    <row r="87" spans="1:25" ht="23.25" customHeight="1" x14ac:dyDescent="0.2">
      <c r="A87" s="26"/>
      <c r="B87" s="26"/>
      <c r="C87" s="74"/>
      <c r="D87" s="74"/>
      <c r="E87" s="27" t="b">
        <f>FALSE()</f>
        <v>0</v>
      </c>
      <c r="F87" s="27" t="b">
        <f>FALSE()</f>
        <v>0</v>
      </c>
      <c r="G87" s="27" t="b">
        <f>FALSE()</f>
        <v>0</v>
      </c>
      <c r="H87" s="27" t="b">
        <f>FALSE()</f>
        <v>0</v>
      </c>
      <c r="I87" s="27" t="b">
        <f>FALSE()</f>
        <v>0</v>
      </c>
      <c r="J87" s="27" t="b">
        <f>FALSE()</f>
        <v>0</v>
      </c>
      <c r="K87" s="28"/>
      <c r="L87" s="29"/>
      <c r="M87" s="30" t="str">
        <f t="shared" si="22"/>
        <v/>
      </c>
      <c r="N87" s="30" t="str">
        <f t="shared" si="23"/>
        <v/>
      </c>
      <c r="O87" s="30" t="str">
        <f t="shared" si="24"/>
        <v/>
      </c>
      <c r="P87" s="30" t="str">
        <f t="shared" si="25"/>
        <v/>
      </c>
      <c r="Q87" s="30" t="str">
        <f t="shared" si="26"/>
        <v/>
      </c>
      <c r="R87" s="30" t="str">
        <f t="shared" si="27"/>
        <v/>
      </c>
      <c r="S87" s="30" t="str">
        <f t="shared" si="28"/>
        <v/>
      </c>
      <c r="T87" s="31" t="str">
        <f t="shared" si="29"/>
        <v/>
      </c>
      <c r="U87" s="32" t="str">
        <f t="shared" si="30"/>
        <v/>
      </c>
      <c r="V87" s="33">
        <v>0</v>
      </c>
      <c r="W87" s="34" t="str">
        <f t="shared" si="31"/>
        <v/>
      </c>
      <c r="X87" s="35" t="str">
        <f ca="1">IFERROR(RealTime_Prediction!B4,"")</f>
        <v>⚠ No confident prediction</v>
      </c>
      <c r="Y87" s="36" t="str">
        <f t="shared" ca="1" si="32"/>
        <v/>
      </c>
    </row>
    <row r="88" spans="1:25" ht="23.25" customHeight="1" x14ac:dyDescent="0.2">
      <c r="A88" s="26"/>
      <c r="B88" s="26"/>
      <c r="C88" s="74"/>
      <c r="D88" s="74"/>
      <c r="E88" s="27" t="b">
        <f>FALSE()</f>
        <v>0</v>
      </c>
      <c r="F88" s="27" t="b">
        <f>FALSE()</f>
        <v>0</v>
      </c>
      <c r="G88" s="27" t="b">
        <f>FALSE()</f>
        <v>0</v>
      </c>
      <c r="H88" s="27" t="b">
        <f>FALSE()</f>
        <v>0</v>
      </c>
      <c r="I88" s="27" t="b">
        <f>FALSE()</f>
        <v>0</v>
      </c>
      <c r="J88" s="27" t="b">
        <f>FALSE()</f>
        <v>0</v>
      </c>
      <c r="K88" s="28"/>
      <c r="L88" s="29"/>
      <c r="M88" s="30" t="str">
        <f t="shared" si="22"/>
        <v/>
      </c>
      <c r="N88" s="30" t="str">
        <f t="shared" si="23"/>
        <v/>
      </c>
      <c r="O88" s="30" t="str">
        <f t="shared" si="24"/>
        <v/>
      </c>
      <c r="P88" s="30" t="str">
        <f t="shared" si="25"/>
        <v/>
      </c>
      <c r="Q88" s="30" t="str">
        <f t="shared" si="26"/>
        <v/>
      </c>
      <c r="R88" s="30" t="str">
        <f t="shared" si="27"/>
        <v/>
      </c>
      <c r="S88" s="30" t="str">
        <f t="shared" si="28"/>
        <v/>
      </c>
      <c r="T88" s="31" t="str">
        <f t="shared" si="29"/>
        <v/>
      </c>
      <c r="U88" s="32" t="str">
        <f t="shared" si="30"/>
        <v/>
      </c>
      <c r="V88" s="33">
        <v>0</v>
      </c>
      <c r="W88" s="34" t="str">
        <f t="shared" si="31"/>
        <v/>
      </c>
      <c r="X88" s="35" t="str">
        <f ca="1">IFERROR(RealTime_Prediction!B4,"")</f>
        <v>⚠ No confident prediction</v>
      </c>
      <c r="Y88" s="36" t="str">
        <f t="shared" ca="1" si="32"/>
        <v/>
      </c>
    </row>
    <row r="89" spans="1:25" ht="23.25" customHeight="1" x14ac:dyDescent="0.2">
      <c r="A89" s="26"/>
      <c r="B89" s="26"/>
      <c r="C89" s="74"/>
      <c r="D89" s="74"/>
      <c r="E89" s="27" t="b">
        <f>FALSE()</f>
        <v>0</v>
      </c>
      <c r="F89" s="27" t="b">
        <f>FALSE()</f>
        <v>0</v>
      </c>
      <c r="G89" s="27" t="b">
        <f>FALSE()</f>
        <v>0</v>
      </c>
      <c r="H89" s="27" t="b">
        <f>FALSE()</f>
        <v>0</v>
      </c>
      <c r="I89" s="27" t="b">
        <f>FALSE()</f>
        <v>0</v>
      </c>
      <c r="J89" s="27" t="b">
        <f>FALSE()</f>
        <v>0</v>
      </c>
      <c r="K89" s="28"/>
      <c r="L89" s="29"/>
      <c r="M89" s="30" t="str">
        <f t="shared" si="22"/>
        <v/>
      </c>
      <c r="N89" s="30" t="str">
        <f t="shared" si="23"/>
        <v/>
      </c>
      <c r="O89" s="30" t="str">
        <f t="shared" si="24"/>
        <v/>
      </c>
      <c r="P89" s="30" t="str">
        <f t="shared" si="25"/>
        <v/>
      </c>
      <c r="Q89" s="30" t="str">
        <f t="shared" si="26"/>
        <v/>
      </c>
      <c r="R89" s="30" t="str">
        <f t="shared" si="27"/>
        <v/>
      </c>
      <c r="S89" s="30" t="str">
        <f t="shared" si="28"/>
        <v/>
      </c>
      <c r="T89" s="31" t="str">
        <f t="shared" si="29"/>
        <v/>
      </c>
      <c r="U89" s="32" t="str">
        <f t="shared" si="30"/>
        <v/>
      </c>
      <c r="V89" s="33">
        <v>0</v>
      </c>
      <c r="W89" s="34" t="str">
        <f t="shared" si="31"/>
        <v/>
      </c>
      <c r="X89" s="35" t="str">
        <f ca="1">IFERROR(RealTime_Prediction!B4,"")</f>
        <v>⚠ No confident prediction</v>
      </c>
      <c r="Y89" s="36" t="str">
        <f t="shared" ca="1" si="32"/>
        <v/>
      </c>
    </row>
    <row r="90" spans="1:25" ht="23.25" customHeight="1" x14ac:dyDescent="0.2">
      <c r="A90" s="26"/>
      <c r="B90" s="26"/>
      <c r="C90" s="74"/>
      <c r="D90" s="74"/>
      <c r="E90" s="27" t="b">
        <f>FALSE()</f>
        <v>0</v>
      </c>
      <c r="F90" s="27" t="b">
        <f>FALSE()</f>
        <v>0</v>
      </c>
      <c r="G90" s="27" t="b">
        <f>FALSE()</f>
        <v>0</v>
      </c>
      <c r="H90" s="27" t="b">
        <f>FALSE()</f>
        <v>0</v>
      </c>
      <c r="I90" s="27" t="b">
        <f>FALSE()</f>
        <v>0</v>
      </c>
      <c r="J90" s="27" t="b">
        <f>FALSE()</f>
        <v>0</v>
      </c>
      <c r="K90" s="28"/>
      <c r="L90" s="29"/>
      <c r="M90" s="30" t="str">
        <f t="shared" si="22"/>
        <v/>
      </c>
      <c r="N90" s="30" t="str">
        <f t="shared" si="23"/>
        <v/>
      </c>
      <c r="O90" s="30" t="str">
        <f t="shared" si="24"/>
        <v/>
      </c>
      <c r="P90" s="30" t="str">
        <f t="shared" si="25"/>
        <v/>
      </c>
      <c r="Q90" s="30" t="str">
        <f t="shared" si="26"/>
        <v/>
      </c>
      <c r="R90" s="30" t="str">
        <f t="shared" si="27"/>
        <v/>
      </c>
      <c r="S90" s="30" t="str">
        <f t="shared" si="28"/>
        <v/>
      </c>
      <c r="T90" s="31" t="str">
        <f t="shared" si="29"/>
        <v/>
      </c>
      <c r="U90" s="32" t="str">
        <f t="shared" si="30"/>
        <v/>
      </c>
      <c r="V90" s="33">
        <v>0</v>
      </c>
      <c r="W90" s="34" t="str">
        <f t="shared" si="31"/>
        <v/>
      </c>
      <c r="X90" s="35" t="str">
        <f ca="1">IFERROR(RealTime_Prediction!B4,"")</f>
        <v>⚠ No confident prediction</v>
      </c>
      <c r="Y90" s="36" t="str">
        <f t="shared" ca="1" si="32"/>
        <v/>
      </c>
    </row>
    <row r="91" spans="1:25" ht="23.25" customHeight="1" x14ac:dyDescent="0.2">
      <c r="A91" s="26"/>
      <c r="B91" s="26"/>
      <c r="C91" s="74"/>
      <c r="D91" s="74"/>
      <c r="E91" s="27" t="b">
        <f>FALSE()</f>
        <v>0</v>
      </c>
      <c r="F91" s="27" t="b">
        <f>FALSE()</f>
        <v>0</v>
      </c>
      <c r="G91" s="27" t="b">
        <f>FALSE()</f>
        <v>0</v>
      </c>
      <c r="H91" s="27" t="b">
        <f>FALSE()</f>
        <v>0</v>
      </c>
      <c r="I91" s="27" t="b">
        <f>FALSE()</f>
        <v>0</v>
      </c>
      <c r="J91" s="27" t="b">
        <f>FALSE()</f>
        <v>0</v>
      </c>
      <c r="K91" s="28"/>
      <c r="L91" s="29"/>
      <c r="M91" s="30" t="str">
        <f t="shared" si="22"/>
        <v/>
      </c>
      <c r="N91" s="30" t="str">
        <f t="shared" si="23"/>
        <v/>
      </c>
      <c r="O91" s="30" t="str">
        <f t="shared" si="24"/>
        <v/>
      </c>
      <c r="P91" s="30" t="str">
        <f t="shared" si="25"/>
        <v/>
      </c>
      <c r="Q91" s="30" t="str">
        <f t="shared" si="26"/>
        <v/>
      </c>
      <c r="R91" s="30" t="str">
        <f t="shared" si="27"/>
        <v/>
      </c>
      <c r="S91" s="30" t="str">
        <f t="shared" si="28"/>
        <v/>
      </c>
      <c r="T91" s="31" t="str">
        <f t="shared" si="29"/>
        <v/>
      </c>
      <c r="U91" s="32" t="str">
        <f t="shared" si="30"/>
        <v/>
      </c>
      <c r="V91" s="33">
        <v>0</v>
      </c>
      <c r="W91" s="34" t="str">
        <f t="shared" si="31"/>
        <v/>
      </c>
      <c r="X91" s="35" t="str">
        <f ca="1">IFERROR(RealTime_Prediction!B4,"")</f>
        <v>⚠ No confident prediction</v>
      </c>
      <c r="Y91" s="36" t="str">
        <f t="shared" ca="1" si="32"/>
        <v/>
      </c>
    </row>
    <row r="92" spans="1:25" ht="23.25" customHeight="1" x14ac:dyDescent="0.2">
      <c r="A92" s="26"/>
      <c r="B92" s="26"/>
      <c r="C92" s="74"/>
      <c r="D92" s="74"/>
      <c r="E92" s="27" t="b">
        <f>FALSE()</f>
        <v>0</v>
      </c>
      <c r="F92" s="27" t="b">
        <f>FALSE()</f>
        <v>0</v>
      </c>
      <c r="G92" s="27" t="b">
        <f>FALSE()</f>
        <v>0</v>
      </c>
      <c r="H92" s="27" t="b">
        <f>FALSE()</f>
        <v>0</v>
      </c>
      <c r="I92" s="27" t="b">
        <f>FALSE()</f>
        <v>0</v>
      </c>
      <c r="J92" s="27" t="b">
        <f>FALSE()</f>
        <v>0</v>
      </c>
      <c r="K92" s="28"/>
      <c r="L92" s="29"/>
      <c r="M92" s="30" t="str">
        <f t="shared" si="22"/>
        <v/>
      </c>
      <c r="N92" s="30" t="str">
        <f t="shared" si="23"/>
        <v/>
      </c>
      <c r="O92" s="30" t="str">
        <f t="shared" si="24"/>
        <v/>
      </c>
      <c r="P92" s="30" t="str">
        <f t="shared" si="25"/>
        <v/>
      </c>
      <c r="Q92" s="30" t="str">
        <f t="shared" si="26"/>
        <v/>
      </c>
      <c r="R92" s="30" t="str">
        <f t="shared" si="27"/>
        <v/>
      </c>
      <c r="S92" s="30" t="str">
        <f t="shared" si="28"/>
        <v/>
      </c>
      <c r="T92" s="31" t="str">
        <f t="shared" si="29"/>
        <v/>
      </c>
      <c r="U92" s="32" t="str">
        <f t="shared" si="30"/>
        <v/>
      </c>
      <c r="V92" s="33">
        <v>0</v>
      </c>
      <c r="W92" s="34" t="str">
        <f t="shared" si="31"/>
        <v/>
      </c>
      <c r="X92" s="35" t="str">
        <f ca="1">IFERROR(RealTime_Prediction!B4,"")</f>
        <v>⚠ No confident prediction</v>
      </c>
      <c r="Y92" s="36" t="str">
        <f t="shared" ca="1" si="32"/>
        <v/>
      </c>
    </row>
    <row r="93" spans="1:25" ht="23.25" customHeight="1" x14ac:dyDescent="0.2">
      <c r="A93" s="26"/>
      <c r="B93" s="26"/>
      <c r="C93" s="74"/>
      <c r="D93" s="74"/>
      <c r="E93" s="27" t="b">
        <f>FALSE()</f>
        <v>0</v>
      </c>
      <c r="F93" s="27" t="b">
        <f>FALSE()</f>
        <v>0</v>
      </c>
      <c r="G93" s="27" t="b">
        <f>FALSE()</f>
        <v>0</v>
      </c>
      <c r="H93" s="27" t="b">
        <f>FALSE()</f>
        <v>0</v>
      </c>
      <c r="I93" s="27" t="b">
        <f>FALSE()</f>
        <v>0</v>
      </c>
      <c r="J93" s="27" t="b">
        <f>FALSE()</f>
        <v>0</v>
      </c>
      <c r="K93" s="28"/>
      <c r="L93" s="29"/>
      <c r="M93" s="30" t="str">
        <f t="shared" si="22"/>
        <v/>
      </c>
      <c r="N93" s="30" t="str">
        <f t="shared" si="23"/>
        <v/>
      </c>
      <c r="O93" s="30" t="str">
        <f t="shared" si="24"/>
        <v/>
      </c>
      <c r="P93" s="30" t="str">
        <f t="shared" si="25"/>
        <v/>
      </c>
      <c r="Q93" s="30" t="str">
        <f t="shared" si="26"/>
        <v/>
      </c>
      <c r="R93" s="30" t="str">
        <f t="shared" si="27"/>
        <v/>
      </c>
      <c r="S93" s="30" t="str">
        <f t="shared" si="28"/>
        <v/>
      </c>
      <c r="T93" s="31" t="str">
        <f t="shared" si="29"/>
        <v/>
      </c>
      <c r="U93" s="32" t="str">
        <f t="shared" si="30"/>
        <v/>
      </c>
      <c r="V93" s="33">
        <v>0</v>
      </c>
      <c r="W93" s="34" t="str">
        <f t="shared" si="31"/>
        <v/>
      </c>
      <c r="X93" s="35" t="str">
        <f ca="1">IFERROR(RealTime_Prediction!B4,"")</f>
        <v>⚠ No confident prediction</v>
      </c>
      <c r="Y93" s="36" t="str">
        <f t="shared" ca="1" si="32"/>
        <v/>
      </c>
    </row>
    <row r="94" spans="1:25" ht="23.25" customHeight="1" x14ac:dyDescent="0.2">
      <c r="A94" s="26"/>
      <c r="B94" s="26"/>
      <c r="C94" s="74"/>
      <c r="D94" s="74"/>
      <c r="E94" s="27" t="b">
        <f>FALSE()</f>
        <v>0</v>
      </c>
      <c r="F94" s="27" t="b">
        <f>FALSE()</f>
        <v>0</v>
      </c>
      <c r="G94" s="27" t="b">
        <f>FALSE()</f>
        <v>0</v>
      </c>
      <c r="H94" s="27" t="b">
        <f>FALSE()</f>
        <v>0</v>
      </c>
      <c r="I94" s="27" t="b">
        <f>FALSE()</f>
        <v>0</v>
      </c>
      <c r="J94" s="27" t="b">
        <f>FALSE()</f>
        <v>0</v>
      </c>
      <c r="K94" s="28"/>
      <c r="L94" s="29"/>
      <c r="M94" s="30" t="str">
        <f t="shared" si="22"/>
        <v/>
      </c>
      <c r="N94" s="30" t="str">
        <f t="shared" si="23"/>
        <v/>
      </c>
      <c r="O94" s="30" t="str">
        <f t="shared" si="24"/>
        <v/>
      </c>
      <c r="P94" s="30" t="str">
        <f t="shared" si="25"/>
        <v/>
      </c>
      <c r="Q94" s="30" t="str">
        <f t="shared" si="26"/>
        <v/>
      </c>
      <c r="R94" s="30" t="str">
        <f t="shared" si="27"/>
        <v/>
      </c>
      <c r="S94" s="30" t="str">
        <f t="shared" si="28"/>
        <v/>
      </c>
      <c r="T94" s="31" t="str">
        <f t="shared" si="29"/>
        <v/>
      </c>
      <c r="U94" s="32" t="str">
        <f t="shared" si="30"/>
        <v/>
      </c>
      <c r="V94" s="33">
        <v>0</v>
      </c>
      <c r="W94" s="34" t="str">
        <f t="shared" si="31"/>
        <v/>
      </c>
      <c r="X94" s="35" t="str">
        <f ca="1">IFERROR(RealTime_Prediction!B4,"")</f>
        <v>⚠ No confident prediction</v>
      </c>
      <c r="Y94" s="36" t="str">
        <f t="shared" ca="1" si="32"/>
        <v/>
      </c>
    </row>
    <row r="95" spans="1:25" ht="23.25" customHeight="1" x14ac:dyDescent="0.2">
      <c r="A95" s="26"/>
      <c r="B95" s="26"/>
      <c r="C95" s="74"/>
      <c r="D95" s="74"/>
      <c r="E95" s="27" t="b">
        <f>FALSE()</f>
        <v>0</v>
      </c>
      <c r="F95" s="27" t="b">
        <f>FALSE()</f>
        <v>0</v>
      </c>
      <c r="G95" s="27" t="b">
        <f>FALSE()</f>
        <v>0</v>
      </c>
      <c r="H95" s="27" t="b">
        <f>FALSE()</f>
        <v>0</v>
      </c>
      <c r="I95" s="27" t="b">
        <f>FALSE()</f>
        <v>0</v>
      </c>
      <c r="J95" s="27" t="b">
        <f>FALSE()</f>
        <v>0</v>
      </c>
      <c r="K95" s="28"/>
      <c r="L95" s="29"/>
      <c r="M95" s="30" t="str">
        <f t="shared" si="22"/>
        <v/>
      </c>
      <c r="N95" s="30" t="str">
        <f t="shared" si="23"/>
        <v/>
      </c>
      <c r="O95" s="30" t="str">
        <f t="shared" si="24"/>
        <v/>
      </c>
      <c r="P95" s="30" t="str">
        <f t="shared" si="25"/>
        <v/>
      </c>
      <c r="Q95" s="30" t="str">
        <f t="shared" si="26"/>
        <v/>
      </c>
      <c r="R95" s="30" t="str">
        <f t="shared" si="27"/>
        <v/>
      </c>
      <c r="S95" s="30" t="str">
        <f t="shared" si="28"/>
        <v/>
      </c>
      <c r="T95" s="31" t="str">
        <f t="shared" si="29"/>
        <v/>
      </c>
      <c r="U95" s="32" t="str">
        <f t="shared" si="30"/>
        <v/>
      </c>
      <c r="V95" s="33">
        <v>0</v>
      </c>
      <c r="W95" s="34" t="str">
        <f t="shared" si="31"/>
        <v/>
      </c>
      <c r="X95" s="35" t="str">
        <f ca="1">IFERROR(RealTime_Prediction!B4,"")</f>
        <v>⚠ No confident prediction</v>
      </c>
      <c r="Y95" s="36" t="str">
        <f t="shared" ca="1" si="32"/>
        <v/>
      </c>
    </row>
    <row r="96" spans="1:25" ht="23.25" customHeight="1" x14ac:dyDescent="0.2">
      <c r="A96" s="26"/>
      <c r="B96" s="26"/>
      <c r="C96" s="74"/>
      <c r="D96" s="74"/>
      <c r="E96" s="27" t="b">
        <f>FALSE()</f>
        <v>0</v>
      </c>
      <c r="F96" s="27" t="b">
        <f>FALSE()</f>
        <v>0</v>
      </c>
      <c r="G96" s="27" t="b">
        <f>FALSE()</f>
        <v>0</v>
      </c>
      <c r="H96" s="27" t="b">
        <f>FALSE()</f>
        <v>0</v>
      </c>
      <c r="I96" s="27" t="b">
        <f>FALSE()</f>
        <v>0</v>
      </c>
      <c r="J96" s="27" t="b">
        <f>FALSE()</f>
        <v>0</v>
      </c>
      <c r="K96" s="28"/>
      <c r="L96" s="29"/>
      <c r="M96" s="30" t="str">
        <f t="shared" si="22"/>
        <v/>
      </c>
      <c r="N96" s="30" t="str">
        <f t="shared" si="23"/>
        <v/>
      </c>
      <c r="O96" s="30" t="str">
        <f t="shared" si="24"/>
        <v/>
      </c>
      <c r="P96" s="30" t="str">
        <f t="shared" si="25"/>
        <v/>
      </c>
      <c r="Q96" s="30" t="str">
        <f t="shared" si="26"/>
        <v/>
      </c>
      <c r="R96" s="30" t="str">
        <f t="shared" si="27"/>
        <v/>
      </c>
      <c r="S96" s="30" t="str">
        <f t="shared" si="28"/>
        <v/>
      </c>
      <c r="T96" s="31" t="str">
        <f t="shared" si="29"/>
        <v/>
      </c>
      <c r="U96" s="32" t="str">
        <f t="shared" si="30"/>
        <v/>
      </c>
      <c r="V96" s="33">
        <v>0</v>
      </c>
      <c r="W96" s="34" t="str">
        <f t="shared" si="31"/>
        <v/>
      </c>
      <c r="X96" s="35" t="str">
        <f ca="1">IFERROR(RealTime_Prediction!B4,"")</f>
        <v>⚠ No confident prediction</v>
      </c>
      <c r="Y96" s="36" t="str">
        <f t="shared" ca="1" si="32"/>
        <v/>
      </c>
    </row>
    <row r="97" spans="1:25" ht="23.25" customHeight="1" x14ac:dyDescent="0.2">
      <c r="A97" s="26"/>
      <c r="B97" s="26"/>
      <c r="C97" s="74"/>
      <c r="D97" s="74"/>
      <c r="E97" s="27" t="b">
        <f>FALSE()</f>
        <v>0</v>
      </c>
      <c r="F97" s="27" t="b">
        <f>FALSE()</f>
        <v>0</v>
      </c>
      <c r="G97" s="27" t="b">
        <f>FALSE()</f>
        <v>0</v>
      </c>
      <c r="H97" s="27" t="b">
        <f>FALSE()</f>
        <v>0</v>
      </c>
      <c r="I97" s="27" t="b">
        <f>FALSE()</f>
        <v>0</v>
      </c>
      <c r="J97" s="27" t="b">
        <f>FALSE()</f>
        <v>0</v>
      </c>
      <c r="K97" s="28"/>
      <c r="L97" s="29"/>
      <c r="M97" s="30" t="str">
        <f t="shared" si="22"/>
        <v/>
      </c>
      <c r="N97" s="30" t="str">
        <f t="shared" si="23"/>
        <v/>
      </c>
      <c r="O97" s="30" t="str">
        <f t="shared" si="24"/>
        <v/>
      </c>
      <c r="P97" s="30" t="str">
        <f t="shared" si="25"/>
        <v/>
      </c>
      <c r="Q97" s="30" t="str">
        <f t="shared" si="26"/>
        <v/>
      </c>
      <c r="R97" s="30" t="str">
        <f t="shared" si="27"/>
        <v/>
      </c>
      <c r="S97" s="30" t="str">
        <f t="shared" si="28"/>
        <v/>
      </c>
      <c r="T97" s="31" t="str">
        <f t="shared" si="29"/>
        <v/>
      </c>
      <c r="U97" s="32" t="str">
        <f t="shared" si="30"/>
        <v/>
      </c>
      <c r="V97" s="33">
        <v>0</v>
      </c>
      <c r="W97" s="34" t="str">
        <f t="shared" si="31"/>
        <v/>
      </c>
      <c r="X97" s="35" t="str">
        <f ca="1">IFERROR(RealTime_Prediction!B4,"")</f>
        <v>⚠ No confident prediction</v>
      </c>
      <c r="Y97" s="36" t="str">
        <f t="shared" ca="1" si="32"/>
        <v/>
      </c>
    </row>
    <row r="98" spans="1:25" ht="23.25" customHeight="1" x14ac:dyDescent="0.2">
      <c r="A98" s="26"/>
      <c r="B98" s="26"/>
      <c r="C98" s="74"/>
      <c r="D98" s="74"/>
      <c r="E98" s="27" t="b">
        <f>FALSE()</f>
        <v>0</v>
      </c>
      <c r="F98" s="27" t="b">
        <f>FALSE()</f>
        <v>0</v>
      </c>
      <c r="G98" s="27" t="b">
        <f>FALSE()</f>
        <v>0</v>
      </c>
      <c r="H98" s="27" t="b">
        <f>FALSE()</f>
        <v>0</v>
      </c>
      <c r="I98" s="27" t="b">
        <f>FALSE()</f>
        <v>0</v>
      </c>
      <c r="J98" s="27" t="b">
        <f>FALSE()</f>
        <v>0</v>
      </c>
      <c r="K98" s="28"/>
      <c r="L98" s="29"/>
      <c r="M98" s="30" t="str">
        <f t="shared" si="22"/>
        <v/>
      </c>
      <c r="N98" s="30" t="str">
        <f t="shared" si="23"/>
        <v/>
      </c>
      <c r="O98" s="30" t="str">
        <f t="shared" si="24"/>
        <v/>
      </c>
      <c r="P98" s="30" t="str">
        <f t="shared" si="25"/>
        <v/>
      </c>
      <c r="Q98" s="30" t="str">
        <f t="shared" si="26"/>
        <v/>
      </c>
      <c r="R98" s="30" t="str">
        <f t="shared" si="27"/>
        <v/>
      </c>
      <c r="S98" s="30" t="str">
        <f t="shared" si="28"/>
        <v/>
      </c>
      <c r="T98" s="31" t="str">
        <f t="shared" si="29"/>
        <v/>
      </c>
      <c r="U98" s="32" t="str">
        <f t="shared" si="30"/>
        <v/>
      </c>
      <c r="V98" s="33">
        <v>0</v>
      </c>
      <c r="W98" s="34" t="str">
        <f t="shared" si="31"/>
        <v/>
      </c>
      <c r="X98" s="35" t="str">
        <f ca="1">IFERROR(RealTime_Prediction!B4,"")</f>
        <v>⚠ No confident prediction</v>
      </c>
      <c r="Y98" s="36" t="str">
        <f t="shared" ca="1" si="32"/>
        <v/>
      </c>
    </row>
    <row r="99" spans="1:25" ht="23.25" customHeight="1" x14ac:dyDescent="0.2">
      <c r="A99" s="26"/>
      <c r="B99" s="26"/>
      <c r="C99" s="74"/>
      <c r="D99" s="74"/>
      <c r="E99" s="27" t="b">
        <f>FALSE()</f>
        <v>0</v>
      </c>
      <c r="F99" s="27" t="b">
        <f>FALSE()</f>
        <v>0</v>
      </c>
      <c r="G99" s="27" t="b">
        <f>FALSE()</f>
        <v>0</v>
      </c>
      <c r="H99" s="27" t="b">
        <f>FALSE()</f>
        <v>0</v>
      </c>
      <c r="I99" s="27" t="b">
        <f>FALSE()</f>
        <v>0</v>
      </c>
      <c r="J99" s="27" t="b">
        <f>FALSE()</f>
        <v>0</v>
      </c>
      <c r="K99" s="28"/>
      <c r="L99" s="29"/>
      <c r="M99" s="30" t="str">
        <f t="shared" si="22"/>
        <v/>
      </c>
      <c r="N99" s="30" t="str">
        <f t="shared" si="23"/>
        <v/>
      </c>
      <c r="O99" s="30" t="str">
        <f t="shared" si="24"/>
        <v/>
      </c>
      <c r="P99" s="30" t="str">
        <f t="shared" si="25"/>
        <v/>
      </c>
      <c r="Q99" s="30" t="str">
        <f t="shared" si="26"/>
        <v/>
      </c>
      <c r="R99" s="30" t="str">
        <f t="shared" si="27"/>
        <v/>
      </c>
      <c r="S99" s="30" t="str">
        <f t="shared" si="28"/>
        <v/>
      </c>
      <c r="T99" s="31" t="str">
        <f t="shared" ref="T99:T130" si="33">IFERROR(LOOKUP(2,1/(M99:S99&lt;&gt;""),M99:S99),"")</f>
        <v/>
      </c>
      <c r="U99" s="32" t="str">
        <f t="shared" si="30"/>
        <v/>
      </c>
      <c r="V99" s="33">
        <v>0</v>
      </c>
      <c r="W99" s="34" t="str">
        <f t="shared" ref="W99:W130" si="34">IFERROR(IF(V99=0,T99,IFERROR(VALUE(TRIM(MID(SUBSTITUTE(K99,"-",REPT(" ",100)),(U99-V99-1)*100+1,100))),"")),"")</f>
        <v/>
      </c>
      <c r="X99" s="35" t="str">
        <f ca="1">IFERROR(RealTime_Prediction!B4,"")</f>
        <v>⚠ No confident prediction</v>
      </c>
      <c r="Y99" s="36" t="str">
        <f t="shared" ref="Y99:Y130" ca="1" si="35">IF(AND(X99&lt;&gt;"",L99&lt;&gt;""),IF(X99=L99,"✓ YES","✗ NO"),"")</f>
        <v/>
      </c>
    </row>
    <row r="100" spans="1:25" ht="23.25" customHeight="1" x14ac:dyDescent="0.2">
      <c r="A100" s="26"/>
      <c r="B100" s="26"/>
      <c r="C100" s="74"/>
      <c r="D100" s="74"/>
      <c r="E100" s="27" t="b">
        <f>FALSE()</f>
        <v>0</v>
      </c>
      <c r="F100" s="27" t="b">
        <f>FALSE()</f>
        <v>0</v>
      </c>
      <c r="G100" s="27" t="b">
        <f>FALSE()</f>
        <v>0</v>
      </c>
      <c r="H100" s="27" t="b">
        <f>FALSE()</f>
        <v>0</v>
      </c>
      <c r="I100" s="27" t="b">
        <f>FALSE()</f>
        <v>0</v>
      </c>
      <c r="J100" s="27" t="b">
        <f>FALSE()</f>
        <v>0</v>
      </c>
      <c r="K100" s="28"/>
      <c r="L100" s="29"/>
      <c r="M100" s="30" t="str">
        <f t="shared" si="22"/>
        <v/>
      </c>
      <c r="N100" s="30" t="str">
        <f t="shared" si="23"/>
        <v/>
      </c>
      <c r="O100" s="30" t="str">
        <f t="shared" si="24"/>
        <v/>
      </c>
      <c r="P100" s="30" t="str">
        <f t="shared" si="25"/>
        <v/>
      </c>
      <c r="Q100" s="30" t="str">
        <f t="shared" si="26"/>
        <v/>
      </c>
      <c r="R100" s="30" t="str">
        <f t="shared" si="27"/>
        <v/>
      </c>
      <c r="S100" s="30" t="str">
        <f t="shared" si="28"/>
        <v/>
      </c>
      <c r="T100" s="31" t="str">
        <f t="shared" si="33"/>
        <v/>
      </c>
      <c r="U100" s="32" t="str">
        <f t="shared" si="30"/>
        <v/>
      </c>
      <c r="V100" s="33">
        <v>0</v>
      </c>
      <c r="W100" s="34" t="str">
        <f t="shared" si="34"/>
        <v/>
      </c>
      <c r="X100" s="35" t="str">
        <f ca="1">IFERROR(RealTime_Prediction!B4,"")</f>
        <v>⚠ No confident prediction</v>
      </c>
      <c r="Y100" s="36" t="str">
        <f t="shared" ca="1" si="35"/>
        <v/>
      </c>
    </row>
    <row r="101" spans="1:25" ht="23.25" customHeight="1" x14ac:dyDescent="0.2">
      <c r="A101" s="26"/>
      <c r="B101" s="26"/>
      <c r="C101" s="74"/>
      <c r="D101" s="74"/>
      <c r="E101" s="27" t="b">
        <f>FALSE()</f>
        <v>0</v>
      </c>
      <c r="F101" s="27" t="b">
        <f>FALSE()</f>
        <v>0</v>
      </c>
      <c r="G101" s="27" t="b">
        <f>FALSE()</f>
        <v>0</v>
      </c>
      <c r="H101" s="27" t="b">
        <f>FALSE()</f>
        <v>0</v>
      </c>
      <c r="I101" s="27" t="b">
        <f>FALSE()</f>
        <v>0</v>
      </c>
      <c r="J101" s="27" t="b">
        <f>FALSE()</f>
        <v>0</v>
      </c>
      <c r="K101" s="28"/>
      <c r="L101" s="29"/>
      <c r="M101" s="30" t="str">
        <f t="shared" si="22"/>
        <v/>
      </c>
      <c r="N101" s="30" t="str">
        <f t="shared" si="23"/>
        <v/>
      </c>
      <c r="O101" s="30" t="str">
        <f t="shared" si="24"/>
        <v/>
      </c>
      <c r="P101" s="30" t="str">
        <f t="shared" si="25"/>
        <v/>
      </c>
      <c r="Q101" s="30" t="str">
        <f t="shared" si="26"/>
        <v/>
      </c>
      <c r="R101" s="30" t="str">
        <f t="shared" si="27"/>
        <v/>
      </c>
      <c r="S101" s="30" t="str">
        <f t="shared" si="28"/>
        <v/>
      </c>
      <c r="T101" s="31" t="str">
        <f t="shared" si="33"/>
        <v/>
      </c>
      <c r="U101" s="32" t="str">
        <f t="shared" si="30"/>
        <v/>
      </c>
      <c r="V101" s="33">
        <v>0</v>
      </c>
      <c r="W101" s="34" t="str">
        <f t="shared" si="34"/>
        <v/>
      </c>
      <c r="X101" s="35" t="str">
        <f ca="1">IFERROR(RealTime_Prediction!B4,"")</f>
        <v>⚠ No confident prediction</v>
      </c>
      <c r="Y101" s="36" t="str">
        <f t="shared" ca="1" si="35"/>
        <v/>
      </c>
    </row>
    <row r="102" spans="1:25" ht="23.25" customHeight="1" x14ac:dyDescent="0.2">
      <c r="A102" s="26"/>
      <c r="B102" s="26"/>
      <c r="C102" s="74"/>
      <c r="D102" s="74"/>
      <c r="E102" s="27" t="b">
        <f>FALSE()</f>
        <v>0</v>
      </c>
      <c r="F102" s="27" t="b">
        <f>FALSE()</f>
        <v>0</v>
      </c>
      <c r="G102" s="27" t="b">
        <f>FALSE()</f>
        <v>0</v>
      </c>
      <c r="H102" s="27" t="b">
        <f>FALSE()</f>
        <v>0</v>
      </c>
      <c r="I102" s="27" t="b">
        <f>FALSE()</f>
        <v>0</v>
      </c>
      <c r="J102" s="27" t="b">
        <f>FALSE()</f>
        <v>0</v>
      </c>
      <c r="K102" s="28"/>
      <c r="L102" s="29"/>
      <c r="M102" s="30" t="str">
        <f t="shared" si="22"/>
        <v/>
      </c>
      <c r="N102" s="30" t="str">
        <f t="shared" si="23"/>
        <v/>
      </c>
      <c r="O102" s="30" t="str">
        <f t="shared" si="24"/>
        <v/>
      </c>
      <c r="P102" s="30" t="str">
        <f t="shared" si="25"/>
        <v/>
      </c>
      <c r="Q102" s="30" t="str">
        <f t="shared" si="26"/>
        <v/>
      </c>
      <c r="R102" s="30" t="str">
        <f t="shared" si="27"/>
        <v/>
      </c>
      <c r="S102" s="30" t="str">
        <f t="shared" si="28"/>
        <v/>
      </c>
      <c r="T102" s="31" t="str">
        <f t="shared" si="33"/>
        <v/>
      </c>
      <c r="U102" s="32" t="str">
        <f t="shared" si="30"/>
        <v/>
      </c>
      <c r="V102" s="33">
        <v>0</v>
      </c>
      <c r="W102" s="34" t="str">
        <f t="shared" si="34"/>
        <v/>
      </c>
      <c r="X102" s="35" t="str">
        <f ca="1">IFERROR(RealTime_Prediction!B4,"")</f>
        <v>⚠ No confident prediction</v>
      </c>
      <c r="Y102" s="36" t="str">
        <f t="shared" ca="1" si="35"/>
        <v/>
      </c>
    </row>
  </sheetData>
  <mergeCells count="1">
    <mergeCell ref="A1:U1"/>
  </mergeCells>
  <conditionalFormatting sqref="A3:Y102">
    <cfRule type="expression" dxfId="6" priority="2">
      <formula>$Y3="✓ YES"</formula>
    </cfRule>
    <cfRule type="expression" dxfId="5" priority="3">
      <formula>$Y3="✗ NO"</formula>
    </cfRule>
    <cfRule type="expression" dxfId="4" priority="4">
      <formula>$E3=1</formula>
    </cfRule>
  </conditionalFormatting>
  <dataValidations count="4">
    <dataValidation type="list" allowBlank="1" sqref="C3:C102" xr:uid="{00000000-0002-0000-0000-000000000000}">
      <formula1>"0-0,0-1,0-2,1-0,1-1,1-2,2-0,2-1,2-2,3-0,3-1,3-2"</formula1>
      <formula2>0</formula2>
    </dataValidation>
    <dataValidation type="list" allowBlank="1" sqref="L3:L102" xr:uid="{00000000-0002-0000-0000-000001000000}">
      <formula1>"Fastball,Curveball,Slider,Changeup,Cutter,Sinker,Other"</formula1>
      <formula2>0</formula2>
    </dataValidation>
    <dataValidation type="whole" allowBlank="1" sqref="A3:A102" xr:uid="{00000000-0002-0000-0000-000002000000}">
      <formula1>1</formula1>
      <formula2>18</formula2>
    </dataValidation>
    <dataValidation type="list" allowBlank="1" sqref="B3:B102 V3:V102" xr:uid="{00000000-0002-0000-0000-000003000000}">
      <formula1>"0,1,2"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3483"/>
  </sheetPr>
  <dimension ref="A1:L23"/>
  <sheetViews>
    <sheetView showGridLines="0" zoomScaleNormal="100" workbookViewId="0">
      <pane ySplit="3" topLeftCell="A4" activePane="bottomLeft" state="frozen"/>
      <selection pane="bottomLeft" activeCell="A18" sqref="A18"/>
    </sheetView>
  </sheetViews>
  <sheetFormatPr baseColWidth="10" defaultColWidth="8.6640625" defaultRowHeight="15" x14ac:dyDescent="0.2"/>
  <cols>
    <col min="1" max="1" width="32" customWidth="1"/>
    <col min="2" max="2" width="42" customWidth="1"/>
    <col min="3" max="3" width="28" customWidth="1"/>
    <col min="4" max="4" width="14" customWidth="1"/>
    <col min="5" max="9" width="12" customWidth="1"/>
    <col min="10" max="10" width="13" customWidth="1"/>
    <col min="11" max="11" width="10" customWidth="1"/>
    <col min="12" max="12" width="20" customWidth="1"/>
  </cols>
  <sheetData>
    <row r="1" spans="1:12" ht="36" customHeight="1" x14ac:dyDescent="0.2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2">
      <c r="A2" s="13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9.75" customHeight="1" x14ac:dyDescent="0.2">
      <c r="A3" s="37" t="s">
        <v>28</v>
      </c>
      <c r="B3" s="37" t="s">
        <v>29</v>
      </c>
      <c r="C3" s="37" t="s">
        <v>30</v>
      </c>
      <c r="D3" s="37" t="s">
        <v>31</v>
      </c>
      <c r="E3" s="37" t="s">
        <v>32</v>
      </c>
      <c r="F3" s="37" t="s">
        <v>33</v>
      </c>
      <c r="G3" s="37" t="s">
        <v>34</v>
      </c>
      <c r="H3" s="37" t="s">
        <v>35</v>
      </c>
      <c r="I3" s="37" t="s">
        <v>36</v>
      </c>
      <c r="J3" s="37" t="s">
        <v>37</v>
      </c>
      <c r="K3" s="37" t="s">
        <v>38</v>
      </c>
      <c r="L3" s="37" t="s">
        <v>39</v>
      </c>
    </row>
    <row r="4" spans="1:12" ht="24" customHeight="1" x14ac:dyDescent="0.2">
      <c r="A4" s="12" t="s">
        <v>40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5" customHeight="1" x14ac:dyDescent="0.2">
      <c r="A5" s="38" t="s">
        <v>41</v>
      </c>
      <c r="B5" s="39" t="s">
        <v>42</v>
      </c>
      <c r="C5" s="40" t="s">
        <v>43</v>
      </c>
      <c r="D5" s="26">
        <f>COUNTIFS(Live_Input!M3:M102,"&lt;&gt;"&amp;"",Live_Input!L3:L102,"&lt;&gt;"&amp;"")</f>
        <v>0</v>
      </c>
      <c r="E5" s="26">
        <f>COUNTIFS(Live_Input!M3:M102,"&lt;&gt;"&amp;"",Live_Input!L3:L102,"Fastball")</f>
        <v>0</v>
      </c>
      <c r="F5" s="26">
        <f>COUNTIFS(Live_Input!M3:M102,"&lt;&gt;"&amp;"",Live_Input!L3:L102,"Curveball")</f>
        <v>0</v>
      </c>
      <c r="G5" s="26">
        <f>COUNTIFS(Live_Input!M3:M102,"&lt;&gt;"&amp;"",Live_Input!L3:L102,"Slider")</f>
        <v>0</v>
      </c>
      <c r="H5" s="26">
        <f>COUNTIFS(Live_Input!M3:M102,"&lt;&gt;"&amp;"",Live_Input!L3:L102,"Changeup")</f>
        <v>0</v>
      </c>
      <c r="I5" s="26">
        <f>SUM(E5:H5)</f>
        <v>0</v>
      </c>
      <c r="J5" s="41" t="str">
        <f>IF(D5&gt;=5,I5/D5,"")</f>
        <v/>
      </c>
      <c r="K5" s="42" t="str">
        <f>IF(J5&gt;=0.8,"🔥 HOT","—")</f>
        <v>🔥 HOT</v>
      </c>
      <c r="L5" s="29"/>
    </row>
    <row r="6" spans="1:12" ht="15" customHeight="1" x14ac:dyDescent="0.2">
      <c r="A6" s="38" t="s">
        <v>44</v>
      </c>
      <c r="B6" s="39" t="s">
        <v>45</v>
      </c>
      <c r="C6" s="40" t="s">
        <v>43</v>
      </c>
      <c r="D6" s="26">
        <f>COUNTIFS(Live_Input!N3:N102,"&lt;&gt;"&amp;"",Live_Input!L3:L102,"&lt;&gt;"&amp;"")</f>
        <v>0</v>
      </c>
      <c r="E6" s="26">
        <f>COUNTIFS(Live_Input!N3:N102,"&lt;&gt;"&amp;"",Live_Input!L3:L102,"Fastball")</f>
        <v>0</v>
      </c>
      <c r="F6" s="26">
        <f>COUNTIFS(Live_Input!N3:N102,"&lt;&gt;"&amp;"",Live_Input!L3:L102,"Curveball")</f>
        <v>0</v>
      </c>
      <c r="G6" s="26">
        <f>COUNTIFS(Live_Input!N3:N102,"&lt;&gt;"&amp;"",Live_Input!L3:L102,"Slider")</f>
        <v>0</v>
      </c>
      <c r="H6" s="26">
        <f>COUNTIFS(Live_Input!N3:N102,"&lt;&gt;"&amp;"",Live_Input!L3:L102,"Changeup")</f>
        <v>0</v>
      </c>
      <c r="I6" s="26">
        <f>SUM(E6:H6)</f>
        <v>0</v>
      </c>
      <c r="J6" s="41" t="str">
        <f>IF(D6&gt;=5,I6/D6,"")</f>
        <v/>
      </c>
      <c r="K6" s="42" t="str">
        <f>IF(J6&gt;=0.8,"🔥 HOT","—")</f>
        <v>🔥 HOT</v>
      </c>
      <c r="L6" s="29"/>
    </row>
    <row r="7" spans="1:12" ht="15" customHeight="1" x14ac:dyDescent="0.2">
      <c r="A7" s="38" t="s">
        <v>46</v>
      </c>
      <c r="B7" s="39" t="s">
        <v>47</v>
      </c>
      <c r="C7" s="40" t="s">
        <v>43</v>
      </c>
      <c r="D7" s="26">
        <f>COUNTIFS(Live_Input!O3:O102,"&lt;&gt;"&amp;"",Live_Input!L3:L102,"&lt;&gt;"&amp;"")</f>
        <v>0</v>
      </c>
      <c r="E7" s="26">
        <f>COUNTIFS(Live_Input!O3:O102,"&lt;&gt;"&amp;"",Live_Input!L3:L102,"Fastball")</f>
        <v>0</v>
      </c>
      <c r="F7" s="26">
        <f>COUNTIFS(Live_Input!O3:O102,"&lt;&gt;"&amp;"",Live_Input!L3:L102,"Curveball")</f>
        <v>0</v>
      </c>
      <c r="G7" s="26">
        <f>COUNTIFS(Live_Input!O3:O102,"&lt;&gt;"&amp;"",Live_Input!L3:L102,"Slider")</f>
        <v>0</v>
      </c>
      <c r="H7" s="26">
        <f>COUNTIFS(Live_Input!O3:O102,"&lt;&gt;"&amp;"",Live_Input!L3:L102,"Changeup")</f>
        <v>0</v>
      </c>
      <c r="I7" s="26">
        <f>SUM(E7:H7)</f>
        <v>0</v>
      </c>
      <c r="J7" s="41" t="str">
        <f>IF(D7&gt;=5,I7/D7,"")</f>
        <v/>
      </c>
      <c r="K7" s="42" t="str">
        <f>IF(J7&gt;=0.8,"🔥 HOT","—")</f>
        <v>🔥 HOT</v>
      </c>
      <c r="L7" s="29"/>
    </row>
    <row r="8" spans="1:12" ht="24" customHeight="1" x14ac:dyDescent="0.2">
      <c r="A8" s="11" t="s">
        <v>48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15" customHeight="1" x14ac:dyDescent="0.2">
      <c r="A9" s="43" t="s">
        <v>49</v>
      </c>
      <c r="B9" s="44" t="s">
        <v>50</v>
      </c>
      <c r="C9" s="45" t="s">
        <v>51</v>
      </c>
      <c r="D9" s="26">
        <f>COUNTIFS(Live_Input!M3:M102,1,Live_Input!L3:L102,"&lt;&gt;"&amp;"")+COUNTIFS(Live_Input!N3:N102,1,Live_Input!L3:L102,"&lt;&gt;"&amp;"")+COUNTIFS(Live_Input!O3:O102,1,Live_Input!L3:L102,"&lt;&gt;"&amp;"")+COUNTIFS(Live_Input!P3:P102,1,Live_Input!L3:L102,"&lt;&gt;"&amp;"")</f>
        <v>0</v>
      </c>
      <c r="E9" s="26">
        <f>COUNTIFS(Live_Input!M3:M102,1,Live_Input!L3:L102,"Fastball")+COUNTIFS(Live_Input!N3:N102,1,Live_Input!L3:L102,"Fastball")+COUNTIFS(Live_Input!O3:O102,1,Live_Input!L3:L102,"Fastball")+COUNTIFS(Live_Input!P3:P102,1,Live_Input!L3:L102,"Fastball")</f>
        <v>0</v>
      </c>
      <c r="F9" s="26">
        <f>COUNTIFS(Live_Input!M3:M102,1,Live_Input!L3:L102,"Curveball")+COUNTIFS(Live_Input!N3:N102,1,Live_Input!L3:L102,"Curveball")+COUNTIFS(Live_Input!O3:O102,1,Live_Input!L3:L102,"Curveball")+COUNTIFS(Live_Input!P3:P102,1,Live_Input!L3:L102,"Curveball")</f>
        <v>0</v>
      </c>
      <c r="G9" s="26">
        <f>COUNTIFS(Live_Input!M3:M102,1,Live_Input!L3:L102,"Slider")+COUNTIFS(Live_Input!N3:N102,1,Live_Input!L3:L102,"Slider")+COUNTIFS(Live_Input!O3:O102,1,Live_Input!L3:L102,"Slider")+COUNTIFS(Live_Input!P3:P102,1,Live_Input!L3:L102,"Slider")</f>
        <v>0</v>
      </c>
      <c r="H9" s="26">
        <f>COUNTIFS(Live_Input!M3:M102,1,Live_Input!L3:L102,"Changeup")+COUNTIFS(Live_Input!N3:N102,1,Live_Input!L3:L102,"Changeup")+COUNTIFS(Live_Input!O3:O102,1,Live_Input!L3:L102,"Changeup")+COUNTIFS(Live_Input!P3:P102,1,Live_Input!L3:L102,"Changeup")</f>
        <v>0</v>
      </c>
      <c r="I9" s="26">
        <f>SUM(E9:H9)</f>
        <v>0</v>
      </c>
      <c r="J9" s="41" t="str">
        <f>IF(D9&gt;=5,I9/D9,"")</f>
        <v/>
      </c>
      <c r="K9" s="42" t="str">
        <f>IF(J9&gt;=0.8,"🔥 HOT","—")</f>
        <v>🔥 HOT</v>
      </c>
      <c r="L9" s="29"/>
    </row>
    <row r="10" spans="1:12" ht="15" customHeight="1" x14ac:dyDescent="0.2">
      <c r="A10" s="43" t="s">
        <v>52</v>
      </c>
      <c r="B10" s="44" t="s">
        <v>53</v>
      </c>
      <c r="C10" s="45" t="s">
        <v>51</v>
      </c>
      <c r="D10" s="26">
        <f>COUNTIFS(Live_Input!M3:M102,2,Live_Input!L3:L102,"&lt;&gt;"&amp;"")+COUNTIFS(Live_Input!N3:N102,2,Live_Input!L3:L102,"&lt;&gt;"&amp;"")+COUNTIFS(Live_Input!O3:O102,2,Live_Input!L3:L102,"&lt;&gt;"&amp;"")+COUNTIFS(Live_Input!P3:P102,2,Live_Input!L3:L102,"&lt;&gt;"&amp;"")</f>
        <v>0</v>
      </c>
      <c r="E10" s="26">
        <f>COUNTIFS(Live_Input!M3:M102,2,Live_Input!L3:L102,"Fastball")+COUNTIFS(Live_Input!N3:N102,2,Live_Input!L3:L102,"Fastball")+COUNTIFS(Live_Input!O3:O102,2,Live_Input!L3:L102,"Fastball")+COUNTIFS(Live_Input!P3:P102,2,Live_Input!L3:L102,"Fastball")</f>
        <v>0</v>
      </c>
      <c r="F10" s="26">
        <f>COUNTIFS(Live_Input!M3:M102,2,Live_Input!L3:L102,"Curveball")+COUNTIFS(Live_Input!N3:N102,2,Live_Input!L3:L102,"Curveball")+COUNTIFS(Live_Input!O3:O102,2,Live_Input!L3:L102,"Curveball")+COUNTIFS(Live_Input!P3:P102,2,Live_Input!L3:L102,"Curveball")</f>
        <v>0</v>
      </c>
      <c r="G10" s="26">
        <f>COUNTIFS(Live_Input!M3:M102,2,Live_Input!L3:L102,"Slider")+COUNTIFS(Live_Input!N3:N102,2,Live_Input!L3:L102,"Slider")+COUNTIFS(Live_Input!O3:O102,2,Live_Input!L3:L102,"Slider")+COUNTIFS(Live_Input!P3:P102,2,Live_Input!L3:L102,"Slider")</f>
        <v>0</v>
      </c>
      <c r="H10" s="26">
        <f>COUNTIFS(Live_Input!M3:M102,2,Live_Input!L3:L102,"Changeup")+COUNTIFS(Live_Input!N3:N102,2,Live_Input!L3:L102,"Changeup")+COUNTIFS(Live_Input!O3:O102,2,Live_Input!L3:L102,"Changeup")+COUNTIFS(Live_Input!P3:P102,2,Live_Input!L3:L102,"Changeup")</f>
        <v>0</v>
      </c>
      <c r="I10" s="26">
        <f>SUM(E10:H10)</f>
        <v>0</v>
      </c>
      <c r="J10" s="41" t="str">
        <f>IF(D10&gt;=5,I10/D10,"")</f>
        <v/>
      </c>
      <c r="K10" s="42" t="str">
        <f>IF(J10&gt;=0.8,"🔥 HOT","—")</f>
        <v>🔥 HOT</v>
      </c>
      <c r="L10" s="29"/>
    </row>
    <row r="11" spans="1:12" ht="15" customHeight="1" x14ac:dyDescent="0.2">
      <c r="A11" s="43" t="s">
        <v>54</v>
      </c>
      <c r="B11" s="44" t="s">
        <v>55</v>
      </c>
      <c r="C11" s="45" t="s">
        <v>51</v>
      </c>
      <c r="D11" s="26">
        <f>COUNTIFS(Live_Input!M3:M102,3,Live_Input!L3:L102,"&lt;&gt;"&amp;"")+COUNTIFS(Live_Input!N3:N102,3,Live_Input!L3:L102,"&lt;&gt;"&amp;"")+COUNTIFS(Live_Input!O3:O102,3,Live_Input!L3:L102,"&lt;&gt;"&amp;"")+COUNTIFS(Live_Input!P3:P102,3,Live_Input!L3:L102,"&lt;&gt;"&amp;"")</f>
        <v>0</v>
      </c>
      <c r="E11" s="26">
        <f>COUNTIFS(Live_Input!M3:M102,3,Live_Input!L3:L102,"Fastball")+COUNTIFS(Live_Input!N3:N102,3,Live_Input!L3:L102,"Fastball")+COUNTIFS(Live_Input!O3:O102,3,Live_Input!L3:L102,"Fastball")+COUNTIFS(Live_Input!P3:P102,3,Live_Input!L3:L102,"Fastball")</f>
        <v>0</v>
      </c>
      <c r="F11" s="26">
        <f>COUNTIFS(Live_Input!M3:M102,3,Live_Input!L3:L102,"Curveball")+COUNTIFS(Live_Input!N3:N102,3,Live_Input!L3:L102,"Curveball")+COUNTIFS(Live_Input!O3:O102,3,Live_Input!L3:L102,"Curveball")+COUNTIFS(Live_Input!P3:P102,3,Live_Input!L3:L102,"Curveball")</f>
        <v>0</v>
      </c>
      <c r="G11" s="26">
        <f>COUNTIFS(Live_Input!M3:M102,3,Live_Input!L3:L102,"Slider")+COUNTIFS(Live_Input!N3:N102,3,Live_Input!L3:L102,"Slider")+COUNTIFS(Live_Input!O3:O102,3,Live_Input!L3:L102,"Slider")+COUNTIFS(Live_Input!P3:P102,3,Live_Input!L3:L102,"Slider")</f>
        <v>0</v>
      </c>
      <c r="H11" s="26">
        <f>COUNTIFS(Live_Input!M3:M102,3,Live_Input!L3:L102,"Changeup")+COUNTIFS(Live_Input!N3:N102,3,Live_Input!L3:L102,"Changeup")+COUNTIFS(Live_Input!O3:O102,3,Live_Input!L3:L102,"Changeup")+COUNTIFS(Live_Input!P3:P102,3,Live_Input!L3:L102,"Changeup")</f>
        <v>0</v>
      </c>
      <c r="I11" s="26">
        <f>SUM(E11:H11)</f>
        <v>0</v>
      </c>
      <c r="J11" s="41" t="str">
        <f>IF(D11&gt;=5,I11/D11,"")</f>
        <v/>
      </c>
      <c r="K11" s="42" t="str">
        <f>IF(J11&gt;=0.8,"🔥 HOT","—")</f>
        <v>🔥 HOT</v>
      </c>
      <c r="L11" s="29"/>
    </row>
    <row r="12" spans="1:12" ht="15" customHeight="1" x14ac:dyDescent="0.2">
      <c r="A12" s="43" t="s">
        <v>56</v>
      </c>
      <c r="B12" s="44" t="s">
        <v>57</v>
      </c>
      <c r="C12" s="45" t="s">
        <v>51</v>
      </c>
      <c r="D12" s="26">
        <f>COUNTIFS(Live_Input!M3:M102,4,Live_Input!L3:L102,"&lt;&gt;"&amp;"")+COUNTIFS(Live_Input!N3:N102,4,Live_Input!L3:L102,"&lt;&gt;"&amp;"")+COUNTIFS(Live_Input!O3:O102,4,Live_Input!L3:L102,"&lt;&gt;"&amp;"")+COUNTIFS(Live_Input!P3:P102,4,Live_Input!L3:L102,"&lt;&gt;"&amp;"")</f>
        <v>0</v>
      </c>
      <c r="E12" s="26">
        <f>COUNTIFS(Live_Input!M3:M102,4,Live_Input!L3:L102,"Fastball")+COUNTIFS(Live_Input!N3:N102,4,Live_Input!L3:L102,"Fastball")+COUNTIFS(Live_Input!O3:O102,4,Live_Input!L3:L102,"Fastball")+COUNTIFS(Live_Input!P3:P102,4,Live_Input!L3:L102,"Fastball")</f>
        <v>0</v>
      </c>
      <c r="F12" s="26">
        <f>COUNTIFS(Live_Input!M3:M102,4,Live_Input!L3:L102,"Curveball")+COUNTIFS(Live_Input!N3:N102,4,Live_Input!L3:L102,"Curveball")+COUNTIFS(Live_Input!O3:O102,4,Live_Input!L3:L102,"Curveball")+COUNTIFS(Live_Input!P3:P102,4,Live_Input!L3:L102,"Curveball")</f>
        <v>0</v>
      </c>
      <c r="G12" s="26">
        <f>COUNTIFS(Live_Input!M3:M102,4,Live_Input!L3:L102,"Slider")+COUNTIFS(Live_Input!N3:N102,4,Live_Input!L3:L102,"Slider")+COUNTIFS(Live_Input!O3:O102,4,Live_Input!L3:L102,"Slider")+COUNTIFS(Live_Input!P3:P102,4,Live_Input!L3:L102,"Slider")</f>
        <v>0</v>
      </c>
      <c r="H12" s="26">
        <f>COUNTIFS(Live_Input!M3:M102,4,Live_Input!L3:L102,"Changeup")+COUNTIFS(Live_Input!N3:N102,4,Live_Input!L3:L102,"Changeup")+COUNTIFS(Live_Input!O3:O102,4,Live_Input!L3:L102,"Changeup")+COUNTIFS(Live_Input!P3:P102,4,Live_Input!L3:L102,"Changeup")</f>
        <v>0</v>
      </c>
      <c r="I12" s="26">
        <f>SUM(E12:H12)</f>
        <v>0</v>
      </c>
      <c r="J12" s="41" t="str">
        <f>IF(D12&gt;=5,I12/D12,"")</f>
        <v/>
      </c>
      <c r="K12" s="42" t="str">
        <f>IF(J12&gt;=0.8,"🔥 HOT","—")</f>
        <v>🔥 HOT</v>
      </c>
      <c r="L12" s="29"/>
    </row>
    <row r="13" spans="1:12" ht="15" customHeight="1" x14ac:dyDescent="0.2">
      <c r="A13" s="43" t="s">
        <v>58</v>
      </c>
      <c r="B13" s="44" t="s">
        <v>59</v>
      </c>
      <c r="C13" s="45" t="s">
        <v>51</v>
      </c>
      <c r="D13" s="26">
        <f>COUNTIFS(Live_Input!M3:M102,5,Live_Input!L3:L102,"&lt;&gt;"&amp;"")+COUNTIFS(Live_Input!N3:N102,5,Live_Input!L3:L102,"&lt;&gt;"&amp;"")+COUNTIFS(Live_Input!O3:O102,5,Live_Input!L3:L102,"&lt;&gt;"&amp;"")+COUNTIFS(Live_Input!P3:P102,5,Live_Input!L3:L102,"&lt;&gt;"&amp;"")</f>
        <v>0</v>
      </c>
      <c r="E13" s="26">
        <f>COUNTIFS(Live_Input!M3:M102,5,Live_Input!L3:L102,"Fastball")+COUNTIFS(Live_Input!N3:N102,5,Live_Input!L3:L102,"Fastball")+COUNTIFS(Live_Input!O3:O102,5,Live_Input!L3:L102,"Fastball")+COUNTIFS(Live_Input!P3:P102,5,Live_Input!L3:L102,"Fastball")</f>
        <v>0</v>
      </c>
      <c r="F13" s="26">
        <f>COUNTIFS(Live_Input!M3:M102,5,Live_Input!L3:L102,"Curveball")+COUNTIFS(Live_Input!N3:N102,5,Live_Input!L3:L102,"Curveball")+COUNTIFS(Live_Input!O3:O102,5,Live_Input!L3:L102,"Curveball")+COUNTIFS(Live_Input!P3:P102,5,Live_Input!L3:L102,"Curveball")</f>
        <v>0</v>
      </c>
      <c r="G13" s="26">
        <f>COUNTIFS(Live_Input!M3:M102,5,Live_Input!L3:L102,"Slider")+COUNTIFS(Live_Input!N3:N102,5,Live_Input!L3:L102,"Slider")+COUNTIFS(Live_Input!O3:O102,5,Live_Input!L3:L102,"Slider")+COUNTIFS(Live_Input!P3:P102,5,Live_Input!L3:L102,"Slider")</f>
        <v>0</v>
      </c>
      <c r="H13" s="26">
        <f>COUNTIFS(Live_Input!M3:M102,5,Live_Input!L3:L102,"Changeup")+COUNTIFS(Live_Input!N3:N102,5,Live_Input!L3:L102,"Changeup")+COUNTIFS(Live_Input!O3:O102,5,Live_Input!L3:L102,"Changeup")+COUNTIFS(Live_Input!P3:P102,5,Live_Input!L3:L102,"Changeup")</f>
        <v>0</v>
      </c>
      <c r="I13" s="26">
        <f>SUM(E13:H13)</f>
        <v>0</v>
      </c>
      <c r="J13" s="41" t="str">
        <f>IF(D13&gt;=5,I13/D13,"")</f>
        <v/>
      </c>
      <c r="K13" s="42" t="str">
        <f>IF(J13&gt;=0.8,"🔥 HOT","—")</f>
        <v>🔥 HOT</v>
      </c>
      <c r="L13" s="29"/>
    </row>
    <row r="14" spans="1:12" ht="24" customHeight="1" x14ac:dyDescent="0.2">
      <c r="A14" s="10" t="s">
        <v>60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23.25" customHeight="1" x14ac:dyDescent="0.2">
      <c r="A15" s="46" t="s">
        <v>61</v>
      </c>
      <c r="B15" s="47" t="s">
        <v>62</v>
      </c>
      <c r="C15" s="48" t="s">
        <v>63</v>
      </c>
      <c r="D15" s="26">
        <f>SUMPRODUCT((MOD(Live_Input!A3:A102,2)=1)*(Live_Input!M3:M102&lt;&gt;"")*(Live_Input!L3:L102&lt;&gt;""))</f>
        <v>0</v>
      </c>
      <c r="E15" s="26">
        <f>SUMPRODUCT((MOD(Live_Input!A3:A102,2)=1)*(Live_Input!M3:M102&lt;&gt;"")*(Live_Input!L3:L102="Fastball"))</f>
        <v>0</v>
      </c>
      <c r="F15" s="26">
        <f>SUMPRODUCT((MOD(Live_Input!A3:A102,2)=1)*(Live_Input!M3:M102&lt;&gt;"")*(Live_Input!L3:L102="Curveball"))</f>
        <v>0</v>
      </c>
      <c r="G15" s="26">
        <f>SUMPRODUCT((MOD(Live_Input!A3:A102,2)=1)*(Live_Input!M3:M102&lt;&gt;"")*(Live_Input!L3:L102="Slider"))</f>
        <v>0</v>
      </c>
      <c r="H15" s="26">
        <f>SUMPRODUCT((MOD(Live_Input!A3:A102,2)=1)*(Live_Input!M3:M102&lt;&gt;"")*(Live_Input!L3:L102="Changeup"))</f>
        <v>0</v>
      </c>
      <c r="I15" s="26">
        <f>SUM(E15:H15)</f>
        <v>0</v>
      </c>
      <c r="J15" s="41" t="str">
        <f>IF(D15&gt;=5,I15/D15,"")</f>
        <v/>
      </c>
      <c r="K15" s="42" t="str">
        <f>IF(J15&gt;=0.8,"🔥 HOT","—")</f>
        <v>🔥 HOT</v>
      </c>
      <c r="L15" s="29"/>
    </row>
    <row r="16" spans="1:12" ht="23.25" customHeight="1" x14ac:dyDescent="0.2">
      <c r="A16" s="46" t="s">
        <v>64</v>
      </c>
      <c r="B16" s="47" t="s">
        <v>65</v>
      </c>
      <c r="C16" s="48" t="s">
        <v>66</v>
      </c>
      <c r="D16" s="26">
        <f>SUMPRODUCT((MOD(Live_Input!A3:A102,2)=0)*(Live_Input!A3:A102&gt;0)*(Live_Input!N3:N102&lt;&gt;"")*(Live_Input!L3:L102&lt;&gt;""))</f>
        <v>0</v>
      </c>
      <c r="E16" s="26">
        <f>SUMPRODUCT((MOD(Live_Input!A3:A102,2)=0)*(Live_Input!A3:A102&gt;0)*(Live_Input!N3:N102&lt;&gt;"")*(Live_Input!L3:L102="Fastball"))</f>
        <v>0</v>
      </c>
      <c r="F16" s="26">
        <f>SUMPRODUCT((MOD(Live_Input!A3:A102,2)=0)*(Live_Input!A3:A102&gt;0)*(Live_Input!N3:N102&lt;&gt;"")*(Live_Input!L3:L102="Curveball"))</f>
        <v>0</v>
      </c>
      <c r="G16" s="26">
        <f>SUMPRODUCT((MOD(Live_Input!A3:A102,2)=0)*(Live_Input!A3:A102&gt;0)*(Live_Input!N3:N102&lt;&gt;"")*(Live_Input!L3:L102="Slider"))</f>
        <v>0</v>
      </c>
      <c r="H16" s="26">
        <f>SUMPRODUCT((MOD(Live_Input!A3:A102,2)=0)*(Live_Input!A3:A102&gt;0)*(Live_Input!N3:N102&lt;&gt;"")*(Live_Input!L3:L102="Changeup"))</f>
        <v>0</v>
      </c>
      <c r="I16" s="26">
        <f>SUM(E16:H16)</f>
        <v>0</v>
      </c>
      <c r="J16" s="41" t="str">
        <f>IF(D16&gt;=5,I16/D16,"")</f>
        <v/>
      </c>
      <c r="K16" s="42" t="str">
        <f>IF(J16&gt;=0.8,"🔥 HOT","—")</f>
        <v>🔥 HOT</v>
      </c>
      <c r="L16" s="29"/>
    </row>
    <row r="17" spans="1:12" ht="24" customHeight="1" x14ac:dyDescent="0.2">
      <c r="A17" s="12" t="s">
        <v>67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5" customHeight="1" x14ac:dyDescent="0.2">
      <c r="A18" s="49" t="s">
        <v>68</v>
      </c>
      <c r="B18" s="50" t="s">
        <v>69</v>
      </c>
      <c r="C18" s="51" t="s">
        <v>70</v>
      </c>
      <c r="D18" s="26">
        <f>COUNTIFS(Live_Input!G3:G102,TRUE(),Live_Input!N3:N102,"&lt;&gt;"&amp;"",Live_Input!L3:L102,"&lt;&gt;"&amp;"")</f>
        <v>0</v>
      </c>
      <c r="E18" s="26">
        <f>COUNTIFS(Live_Input!G3:G102,TRUE(),Live_Input!N3:N102,"&lt;&gt;"&amp;"",Live_Input!L3:L102,"Fastball")</f>
        <v>0</v>
      </c>
      <c r="F18" s="26">
        <f>COUNTIFS(Live_Input!G3:G102,TRUE(),Live_Input!N3:N102,"&lt;&gt;"&amp;"",Live_Input!L3:L102,"Curveball")</f>
        <v>0</v>
      </c>
      <c r="G18" s="26">
        <f>COUNTIFS(Live_Input!G3:G102,TRUE(),Live_Input!N3:N102,"&lt;&gt;"&amp;"",Live_Input!L3:L102,"Slider")</f>
        <v>0</v>
      </c>
      <c r="H18" s="26">
        <f>COUNTIFS(Live_Input!G3:G102,TRUE(),Live_Input!N3:N102,"&lt;&gt;"&amp;"",Live_Input!L3:L102,"Changeup")</f>
        <v>0</v>
      </c>
      <c r="I18" s="26">
        <f>SUM(E18:H18)</f>
        <v>0</v>
      </c>
      <c r="J18" s="41" t="str">
        <f>IF(D18&gt;=5,I18/D18,"")</f>
        <v/>
      </c>
      <c r="K18" s="42" t="str">
        <f>IF(J18&gt;=0.8,"🔥 HOT","—")</f>
        <v>🔥 HOT</v>
      </c>
      <c r="L18" s="29"/>
    </row>
    <row r="19" spans="1:12" ht="23.25" customHeight="1" x14ac:dyDescent="0.2">
      <c r="A19" s="49" t="s">
        <v>71</v>
      </c>
      <c r="B19" s="50" t="s">
        <v>72</v>
      </c>
      <c r="C19" s="51" t="s">
        <v>73</v>
      </c>
      <c r="D19" s="26">
        <f>COUNTIFS(Live_Input!F3:F102,TRUE(),Live_Input!T3:T102,"&lt;&gt;"&amp;"",Live_Input!L3:L102,"&lt;&gt;"&amp;"")</f>
        <v>0</v>
      </c>
      <c r="E19" s="26">
        <f>COUNTIFS(Live_Input!F3:F102,TRUE(),Live_Input!T3:T102,"&lt;&gt;"&amp;"",Live_Input!L3:L102,"Fastball")</f>
        <v>0</v>
      </c>
      <c r="F19" s="26">
        <f>COUNTIFS(Live_Input!F3:F102,TRUE(),Live_Input!T3:T102,"&lt;&gt;"&amp;"",Live_Input!L3:L102,"Curveball")</f>
        <v>0</v>
      </c>
      <c r="G19" s="26">
        <f>COUNTIFS(Live_Input!F3:F102,TRUE(),Live_Input!T3:T102,"&lt;&gt;"&amp;"",Live_Input!L3:L102,"Slider")</f>
        <v>0</v>
      </c>
      <c r="H19" s="26">
        <f>COUNTIFS(Live_Input!F3:F102,TRUE(),Live_Input!T3:T102,"&lt;&gt;"&amp;"",Live_Input!L3:L102,"Changeup")</f>
        <v>0</v>
      </c>
      <c r="I19" s="26">
        <f>SUM(E19:H19)</f>
        <v>0</v>
      </c>
      <c r="J19" s="41" t="str">
        <f>IF(D19&gt;=5,I19/D19,"")</f>
        <v/>
      </c>
      <c r="K19" s="42" t="str">
        <f>IF(J19&gt;=0.8,"🔥 HOT","—")</f>
        <v>🔥 HOT</v>
      </c>
      <c r="L19" s="29"/>
    </row>
    <row r="20" spans="1:12" ht="24" customHeight="1" x14ac:dyDescent="0.2">
      <c r="A20" s="9" t="s">
        <v>74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23.25" customHeight="1" x14ac:dyDescent="0.2">
      <c r="A21" s="52" t="s">
        <v>75</v>
      </c>
      <c r="B21" s="53" t="s">
        <v>76</v>
      </c>
      <c r="C21" s="54" t="s">
        <v>77</v>
      </c>
      <c r="D21" s="26">
        <f>COUNTIFS(Live_Input!E3:E102,FALSE(),Live_Input!M3:M102,"&lt;&gt;"&amp;"",Live_Input!L3:L102,"&lt;&gt;"&amp;"")</f>
        <v>0</v>
      </c>
      <c r="E21" s="26">
        <f>COUNTIFS(Live_Input!E3:E102,FALSE(),Live_Input!M3:M102,"&lt;&gt;"&amp;"",Live_Input!L3:L102,"Fastball")</f>
        <v>0</v>
      </c>
      <c r="F21" s="26">
        <f>COUNTIFS(Live_Input!E3:E102,FALSE(),Live_Input!M3:M102,"&lt;&gt;"&amp;"",Live_Input!L3:L102,"Curveball")</f>
        <v>0</v>
      </c>
      <c r="G21" s="26">
        <f>COUNTIFS(Live_Input!E3:E102,FALSE(),Live_Input!M3:M102,"&lt;&gt;"&amp;"",Live_Input!L3:L102,"Slider")</f>
        <v>0</v>
      </c>
      <c r="H21" s="26">
        <f>COUNTIFS(Live_Input!E3:E102,FALSE(),Live_Input!M3:M102,"&lt;&gt;"&amp;"",Live_Input!L3:L102,"Changeup")</f>
        <v>0</v>
      </c>
      <c r="I21" s="26">
        <f>SUM(E21:H21)</f>
        <v>0</v>
      </c>
      <c r="J21" s="41" t="str">
        <f>IF(D21&gt;=5,I21/D21,"")</f>
        <v/>
      </c>
      <c r="K21" s="42" t="str">
        <f>IF(J21&gt;=0.8,"🔥 HOT","—")</f>
        <v>🔥 HOT</v>
      </c>
      <c r="L21" s="29"/>
    </row>
    <row r="22" spans="1:12" ht="23.25" customHeight="1" x14ac:dyDescent="0.2">
      <c r="A22" s="52" t="s">
        <v>78</v>
      </c>
      <c r="B22" s="53" t="s">
        <v>79</v>
      </c>
      <c r="C22" s="54" t="s">
        <v>80</v>
      </c>
      <c r="D22" s="26">
        <f>COUNTIFS(Live_Input!E3:E102,TRUE(),Live_Input!T3:T102,"&lt;&gt;"&amp;"",Live_Input!L3:L102,"&lt;&gt;"&amp;"")</f>
        <v>0</v>
      </c>
      <c r="E22" s="26">
        <f>COUNTIFS(Live_Input!E3:E102,TRUE(),Live_Input!T3:T102,"&lt;&gt;"&amp;"",Live_Input!L3:L102,"Fastball")</f>
        <v>0</v>
      </c>
      <c r="F22" s="26">
        <f>COUNTIFS(Live_Input!E3:E102,TRUE(),Live_Input!T3:T102,"&lt;&gt;"&amp;"",Live_Input!L3:L102,"Curveball")</f>
        <v>0</v>
      </c>
      <c r="G22" s="26">
        <f>COUNTIFS(Live_Input!E3:E102,TRUE(),Live_Input!T3:T102,"&lt;&gt;"&amp;"",Live_Input!L3:L102,"Slider")</f>
        <v>0</v>
      </c>
      <c r="H22" s="26">
        <f>COUNTIFS(Live_Input!E3:E102,TRUE(),Live_Input!T3:T102,"&lt;&gt;"&amp;"",Live_Input!L3:L102,"Changeup")</f>
        <v>0</v>
      </c>
      <c r="I22" s="26">
        <f>SUM(E22:H22)</f>
        <v>0</v>
      </c>
      <c r="J22" s="41" t="str">
        <f>IF(D22&gt;=5,I22/D22,"")</f>
        <v/>
      </c>
      <c r="K22" s="42" t="str">
        <f>IF(J22&gt;=0.8,"🔥 HOT","—")</f>
        <v>🔥 HOT</v>
      </c>
      <c r="L22" s="29"/>
    </row>
    <row r="23" spans="1:12" ht="23.25" customHeight="1" x14ac:dyDescent="0.2">
      <c r="A23" s="55" t="s">
        <v>81</v>
      </c>
      <c r="B23" s="56" t="s">
        <v>82</v>
      </c>
      <c r="C23" s="57" t="s">
        <v>83</v>
      </c>
      <c r="D23" s="26">
        <f>COUNTIFS(Live_Input!V3:V102,"&gt;="&amp;1,Live_Input!W3:W102,"&lt;&gt;"&amp;"",Live_Input!L3:L102,"&lt;&gt;"&amp;"")</f>
        <v>0</v>
      </c>
      <c r="E23" s="26">
        <f>COUNTIFS(Live_Input!V3:V102,"&gt;="&amp;1,Live_Input!W3:W102,"&lt;&gt;"&amp;"",Live_Input!L3:L102,"Fastball")</f>
        <v>0</v>
      </c>
      <c r="F23" s="26">
        <f>COUNTIFS(Live_Input!V3:V102,"&gt;="&amp;1,Live_Input!W3:W102,"&lt;&gt;"&amp;"",Live_Input!L3:L102,"Curveball")</f>
        <v>0</v>
      </c>
      <c r="G23" s="26">
        <f>COUNTIFS(Live_Input!V3:V102,"&gt;="&amp;1,Live_Input!W3:W102,"&lt;&gt;"&amp;"",Live_Input!L3:L102,"Slider")</f>
        <v>0</v>
      </c>
      <c r="H23" s="26">
        <f>COUNTIFS(Live_Input!V3:V102,"&gt;="&amp;1,Live_Input!W3:W102,"&lt;&gt;"&amp;"",Live_Input!L3:L102,"Changeup")</f>
        <v>0</v>
      </c>
      <c r="I23" s="26">
        <f>SUM(E23:H23)</f>
        <v>0</v>
      </c>
      <c r="J23" s="41" t="str">
        <f>IF(D23&gt;=5,I23/D23,"")</f>
        <v/>
      </c>
      <c r="K23" s="42" t="str">
        <f>IF(J23&gt;=0.8,"🔥 HOT","—")</f>
        <v>🔥 HOT</v>
      </c>
      <c r="L23" s="29"/>
    </row>
  </sheetData>
  <mergeCells count="7">
    <mergeCell ref="A17:L17"/>
    <mergeCell ref="A20:L20"/>
    <mergeCell ref="A1:L1"/>
    <mergeCell ref="A2:L2"/>
    <mergeCell ref="A4:L4"/>
    <mergeCell ref="A8:L8"/>
    <mergeCell ref="A14:L14"/>
  </mergeCells>
  <conditionalFormatting sqref="J5:J24">
    <cfRule type="expression" dxfId="3" priority="2">
      <formula>J5&gt;=0.8</formula>
    </cfRule>
  </conditionalFormatting>
  <conditionalFormatting sqref="K5:K24">
    <cfRule type="expression" dxfId="2" priority="3">
      <formula>J5&gt;=0.8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H24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2" customWidth="1"/>
    <col min="2" max="2" width="40" customWidth="1"/>
    <col min="3" max="3" width="14" customWidth="1"/>
    <col min="4" max="4" width="12" customWidth="1"/>
    <col min="5" max="6" width="14" customWidth="1"/>
    <col min="7" max="8" width="10" customWidth="1"/>
  </cols>
  <sheetData>
    <row r="1" spans="1:8" ht="42" customHeight="1" x14ac:dyDescent="0.2">
      <c r="A1" s="8" t="s">
        <v>84</v>
      </c>
      <c r="B1" s="8"/>
      <c r="C1" s="8"/>
      <c r="D1" s="8"/>
      <c r="E1" s="8"/>
      <c r="F1" s="8"/>
      <c r="G1" s="8"/>
      <c r="H1" s="8"/>
    </row>
    <row r="2" spans="1:8" ht="30" customHeight="1" x14ac:dyDescent="0.2">
      <c r="A2" s="7" t="s">
        <v>85</v>
      </c>
      <c r="B2" s="7"/>
      <c r="C2" s="7"/>
      <c r="D2" s="7"/>
      <c r="E2" s="7"/>
      <c r="F2" s="7"/>
      <c r="G2" s="7"/>
      <c r="H2" s="7"/>
    </row>
    <row r="3" spans="1:8" ht="15" customHeight="1" x14ac:dyDescent="0.2">
      <c r="A3" s="58" t="s">
        <v>86</v>
      </c>
      <c r="B3" s="6" t="str">
        <f>IFERROR(INDEX(Logic_Core!A5:A30,MATCH(MAX(IF(Logic_Core!J5:J30&gt;=0.8,Logic_Core!J5:J30)),IF(Logic_Core!J5:J30&gt;=0.8,Logic_Core!J5:J30),0)),"No Hot Theory (Need 5+ Obs)")</f>
        <v>No Hot Theory (Need 5+ Obs)</v>
      </c>
      <c r="C3" s="6"/>
      <c r="D3" s="6"/>
      <c r="E3" s="6"/>
      <c r="F3" s="6"/>
      <c r="G3" s="6"/>
      <c r="H3" s="6"/>
    </row>
    <row r="4" spans="1:8" ht="49.5" customHeight="1" x14ac:dyDescent="0.2">
      <c r="A4" s="58" t="s">
        <v>87</v>
      </c>
      <c r="B4" s="5" t="str">
        <f ca="1">IFERROR(IF(MAX(Logic_Core!J5:J30)&lt;0.8,"⚠ No confident prediction",_xludf.let(hot_row,MATCH(MAX(IF(Logic_Core!J5:J30&gt;=0.8,Logic_Core!J5:J30)),Logic_Core!J5:J30,0),INDEX({"Fastball","Curveball","Slider","Changeup"},MATCH(MAX(OFFSET(Logic_Core!E5,hot_row-1,0,1,4)),OFFSET(Logic_Core!E5,hot_row-1,0,1,4),0)))),"Enter data first")</f>
        <v>⚠ No confident prediction</v>
      </c>
      <c r="C4" s="5"/>
      <c r="D4" s="5"/>
      <c r="E4" s="5"/>
      <c r="F4" s="5"/>
      <c r="G4" s="5"/>
      <c r="H4" s="5"/>
    </row>
    <row r="5" spans="1:8" ht="36" customHeight="1" x14ac:dyDescent="0.2">
      <c r="A5" s="58" t="s">
        <v>88</v>
      </c>
      <c r="B5" s="4" t="str">
        <f>IFERROR(IF(MAX(Logic_Core!J5:J30)&lt;0.5,"—",TEXT(MAX(Logic_Core!J5:J30),"0.0%")),"—")</f>
        <v>—</v>
      </c>
      <c r="C5" s="4"/>
      <c r="D5" s="4"/>
      <c r="E5" s="4"/>
      <c r="F5" s="4"/>
      <c r="G5" s="4"/>
      <c r="H5" s="4"/>
    </row>
    <row r="6" spans="1:8" ht="15.75" customHeight="1" x14ac:dyDescent="0.2"/>
    <row r="7" spans="1:8" ht="27.75" customHeight="1" x14ac:dyDescent="0.2">
      <c r="A7" s="3" t="s">
        <v>89</v>
      </c>
      <c r="B7" s="3"/>
      <c r="C7" s="3"/>
      <c r="D7" s="3"/>
      <c r="E7" s="3"/>
      <c r="F7" s="3"/>
      <c r="G7" s="3"/>
      <c r="H7" s="3"/>
    </row>
    <row r="8" spans="1:8" ht="24" customHeight="1" x14ac:dyDescent="0.2">
      <c r="A8" s="59" t="s">
        <v>90</v>
      </c>
      <c r="B8" s="2" t="str">
        <f>IF(IFERROR(AVERAGEIF(Live_Input!U3:U102,"&gt;0"),0)&gt;4,"⚠ ALERT: Average sequence length &gt; 4. Indicator system likely active. Check Logic_Core Indicator rows.","✓ Sequence lengths normal (≤4 avg). Fixed-position signs probable.")</f>
        <v>✓ Sequence lengths normal (≤4 avg). Fixed-position signs probable.</v>
      </c>
      <c r="C8" s="2"/>
      <c r="D8" s="2"/>
      <c r="E8" s="2"/>
      <c r="F8" s="2"/>
      <c r="G8" s="2"/>
      <c r="H8" s="2"/>
    </row>
    <row r="9" spans="1:8" ht="24" customHeight="1" x14ac:dyDescent="0.2">
      <c r="A9" s="59" t="s">
        <v>91</v>
      </c>
      <c r="B9" s="2" t="str">
        <f>IF(COUNTIF(Live_Input!E3:E102,TRUE())&gt;0,"⚠ Runner on 2nd detected in dataset. Complex sign system may be in use. Check Section 5 theories.","✓ No runners on 2nd in current data.")</f>
        <v>✓ No runners on 2nd in current data.</v>
      </c>
      <c r="C9" s="2"/>
      <c r="D9" s="2"/>
      <c r="E9" s="2"/>
      <c r="F9" s="2"/>
      <c r="G9" s="2"/>
      <c r="H9" s="2"/>
    </row>
    <row r="10" spans="1:8" ht="24" customHeight="1" x14ac:dyDescent="0.2">
      <c r="A10" s="59" t="s">
        <v>92</v>
      </c>
      <c r="B10" s="2" t="str">
        <f>IF(COUNTIF(Live_Input!G3:G102,TRUE())+COUNTIF(Live_Input!F3:F102,TRUE())&gt;0,"⚠ Tell activity detected (Touch Mask / Chest Wipe). Section 4 theories now active.","✓ No tell activity detected.")</f>
        <v>✓ No tell activity detected.</v>
      </c>
      <c r="C10" s="2"/>
      <c r="D10" s="2"/>
      <c r="E10" s="2"/>
      <c r="F10" s="2"/>
      <c r="G10" s="2"/>
      <c r="H10" s="2"/>
    </row>
    <row r="11" spans="1:8" ht="24" customHeight="1" x14ac:dyDescent="0.2">
      <c r="A11" s="59" t="s">
        <v>93</v>
      </c>
      <c r="B11" s="2" t="str">
        <f>IF(COUNTIF(Live_Input!V3:V102,"&gt;=1")&gt;0,"⚠ Pitcher shakes detected. Shake-Adjusted Sign theory activated. Check Logic_Core Section 5.","✓ No shake events logged.")</f>
        <v>✓ No shake events logged.</v>
      </c>
      <c r="C11" s="2"/>
      <c r="D11" s="2"/>
      <c r="E11" s="2"/>
      <c r="F11" s="2"/>
      <c r="G11" s="2"/>
      <c r="H11" s="2"/>
    </row>
    <row r="12" spans="1:8" ht="24" customHeight="1" x14ac:dyDescent="0.2">
      <c r="A12" s="59" t="s">
        <v>94</v>
      </c>
      <c r="B12" s="2" t="str">
        <f>IF(COUNTIF(Live_Input!J3:J102,TRUE())&gt;0,"⚠ Sign Reset events logged. Parser ignoring pre-reset signs — verify W column accuracy.","✓ No sign resets in current data.")</f>
        <v>✓ No sign resets in current data.</v>
      </c>
      <c r="C12" s="2"/>
      <c r="D12" s="2"/>
      <c r="E12" s="2"/>
      <c r="F12" s="2"/>
      <c r="G12" s="2"/>
      <c r="H12" s="2"/>
    </row>
    <row r="13" spans="1:8" ht="24" customHeight="1" x14ac:dyDescent="0.2">
      <c r="A13" s="59" t="s">
        <v>95</v>
      </c>
      <c r="B13" s="2" t="str">
        <f>IF(MAX(Logic_Core!J5:J30)&gt;=0.9,"🔥 CONFIDENCE ≥ 90%! Hot theory locked. Run DeepScan for hidden indicator correlations.",IF(MAX(Logic_Core!J5:J30)&gt;=0.8,"🟡 Confidence ≥ 80%. Leading theory is hot. Monitor for confirmation.","🔵 No theory above 80% confidence yet. Continue collecting data."))</f>
        <v>🔵 No theory above 80% confidence yet. Continue collecting data.</v>
      </c>
      <c r="C13" s="2"/>
      <c r="D13" s="2"/>
      <c r="E13" s="2"/>
      <c r="F13" s="2"/>
      <c r="G13" s="2"/>
      <c r="H13" s="2"/>
    </row>
    <row r="14" spans="1:8" ht="13.5" customHeight="1" x14ac:dyDescent="0.2"/>
    <row r="15" spans="1:8" ht="27.75" customHeight="1" x14ac:dyDescent="0.2">
      <c r="A15" s="1" t="s">
        <v>96</v>
      </c>
      <c r="B15" s="1"/>
      <c r="C15" s="1"/>
      <c r="D15" s="1"/>
      <c r="E15" s="1"/>
      <c r="F15" s="1"/>
      <c r="G15" s="1"/>
      <c r="H15" s="1"/>
    </row>
    <row r="16" spans="1:8" ht="27.75" customHeight="1" x14ac:dyDescent="0.2">
      <c r="A16" s="60" t="s">
        <v>97</v>
      </c>
      <c r="B16" s="60" t="s">
        <v>28</v>
      </c>
      <c r="C16" s="60" t="s">
        <v>31</v>
      </c>
      <c r="D16" s="60" t="s">
        <v>98</v>
      </c>
      <c r="E16" s="60" t="s">
        <v>99</v>
      </c>
      <c r="F16" s="60" t="s">
        <v>100</v>
      </c>
    </row>
    <row r="17" spans="1:6" ht="21.75" customHeight="1" x14ac:dyDescent="0.2">
      <c r="A17" s="26">
        <v>1</v>
      </c>
      <c r="B17" s="61" t="str">
        <f>IFERROR(INDEX(Logic_Core!A5:A30,MATCH(LARGE(Logic_Core!J5:J30,1),Logic_Core!J5:J30,0)),"—")</f>
        <v>—</v>
      </c>
      <c r="C17" s="61" t="str">
        <f>IFERROR(INDEX(Logic_Core!D5:D30,MATCH(LARGE(Logic_Core!J5:J30,1),Logic_Core!J5:J30,0)),"—")</f>
        <v>—</v>
      </c>
      <c r="D17" s="61" t="str">
        <f>IFERROR(INDEX(Logic_Core!I5:I30,MATCH(LARGE(Logic_Core!J5:J30,1),Logic_Core!J5:J30,0)),"—")</f>
        <v>—</v>
      </c>
      <c r="E17" s="62" t="str">
        <f>IFERROR(LARGE(Logic_Core!J5:J30,1),"—")</f>
        <v>—</v>
      </c>
      <c r="F17" s="61" t="str">
        <f>IFERROR(IF(LARGE(Logic_Core!J5:J30,1)&gt;=0.9,"🔥 ELITE",IF(LARGE(Logic_Core!J5:J30,1)&gt;=0.8,"✅ HOT",IF(LARGE(Logic_Core!J5:J30,1)&gt;=0.6,"🟡 WARM","❌ COLD"))),"—")</f>
        <v>—</v>
      </c>
    </row>
    <row r="18" spans="1:6" ht="21.75" customHeight="1" x14ac:dyDescent="0.2">
      <c r="A18" s="26">
        <v>2</v>
      </c>
      <c r="B18" s="61" t="str">
        <f>IFERROR(INDEX(Logic_Core!A5:A30,MATCH(LARGE(Logic_Core!J5:J30,2),Logic_Core!J5:J30,0)),"—")</f>
        <v>—</v>
      </c>
      <c r="C18" s="61" t="str">
        <f>IFERROR(INDEX(Logic_Core!D5:D30,MATCH(LARGE(Logic_Core!J5:J30,2),Logic_Core!J5:J30,0)),"—")</f>
        <v>—</v>
      </c>
      <c r="D18" s="61" t="str">
        <f>IFERROR(INDEX(Logic_Core!I5:I30,MATCH(LARGE(Logic_Core!J5:J30,2),Logic_Core!J5:J30,0)),"—")</f>
        <v>—</v>
      </c>
      <c r="E18" s="62" t="str">
        <f>IFERROR(LARGE(Logic_Core!J5:J30,2),"—")</f>
        <v>—</v>
      </c>
      <c r="F18" s="61" t="str">
        <f>IFERROR(IF(LARGE(Logic_Core!J5:J30,2)&gt;=0.9,"🔥 ELITE",IF(LARGE(Logic_Core!J5:J30,2)&gt;=0.8,"✅ HOT",IF(LARGE(Logic_Core!J5:J30,2)&gt;=0.6,"🟡 WARM","❌ COLD"))),"—")</f>
        <v>—</v>
      </c>
    </row>
    <row r="19" spans="1:6" ht="21.75" customHeight="1" x14ac:dyDescent="0.2">
      <c r="A19" s="26">
        <v>3</v>
      </c>
      <c r="B19" s="61" t="str">
        <f>IFERROR(INDEX(Logic_Core!A5:A30,MATCH(LARGE(Logic_Core!J5:J30,3),Logic_Core!J5:J30,0)),"—")</f>
        <v>—</v>
      </c>
      <c r="C19" s="61" t="str">
        <f>IFERROR(INDEX(Logic_Core!D5:D30,MATCH(LARGE(Logic_Core!J5:J30,3),Logic_Core!J5:J30,0)),"—")</f>
        <v>—</v>
      </c>
      <c r="D19" s="61" t="str">
        <f>IFERROR(INDEX(Logic_Core!I5:I30,MATCH(LARGE(Logic_Core!J5:J30,3),Logic_Core!J5:J30,0)),"—")</f>
        <v>—</v>
      </c>
      <c r="E19" s="62" t="str">
        <f>IFERROR(LARGE(Logic_Core!J5:J30,3),"—")</f>
        <v>—</v>
      </c>
      <c r="F19" s="61" t="str">
        <f>IFERROR(IF(LARGE(Logic_Core!J5:J30,3)&gt;=0.9,"🔥 ELITE",IF(LARGE(Logic_Core!J5:J30,3)&gt;=0.8,"✅ HOT",IF(LARGE(Logic_Core!J5:J30,3)&gt;=0.6,"🟡 WARM","❌ COLD"))),"—")</f>
        <v>—</v>
      </c>
    </row>
    <row r="20" spans="1:6" ht="21.75" customHeight="1" x14ac:dyDescent="0.2">
      <c r="A20" s="26">
        <v>4</v>
      </c>
      <c r="B20" s="61" t="str">
        <f>IFERROR(INDEX(Logic_Core!A5:A30,MATCH(LARGE(Logic_Core!J5:J30,4),Logic_Core!J5:J30,0)),"—")</f>
        <v>—</v>
      </c>
      <c r="C20" s="61" t="str">
        <f>IFERROR(INDEX(Logic_Core!D5:D30,MATCH(LARGE(Logic_Core!J5:J30,4),Logic_Core!J5:J30,0)),"—")</f>
        <v>—</v>
      </c>
      <c r="D20" s="61" t="str">
        <f>IFERROR(INDEX(Logic_Core!I5:I30,MATCH(LARGE(Logic_Core!J5:J30,4),Logic_Core!J5:J30,0)),"—")</f>
        <v>—</v>
      </c>
      <c r="E20" s="62" t="str">
        <f>IFERROR(LARGE(Logic_Core!J5:J30,4),"—")</f>
        <v>—</v>
      </c>
      <c r="F20" s="61" t="str">
        <f>IFERROR(IF(LARGE(Logic_Core!J5:J30,4)&gt;=0.9,"🔥 ELITE",IF(LARGE(Logic_Core!J5:J30,4)&gt;=0.8,"✅ HOT",IF(LARGE(Logic_Core!J5:J30,4)&gt;=0.6,"🟡 WARM","❌ COLD"))),"—")</f>
        <v>—</v>
      </c>
    </row>
    <row r="21" spans="1:6" ht="21.75" customHeight="1" x14ac:dyDescent="0.2">
      <c r="A21" s="26">
        <v>5</v>
      </c>
      <c r="B21" s="61" t="str">
        <f>IFERROR(INDEX(Logic_Core!A5:A30,MATCH(LARGE(Logic_Core!J5:J30,5),Logic_Core!J5:J30,0)),"—")</f>
        <v>—</v>
      </c>
      <c r="C21" s="61" t="str">
        <f>IFERROR(INDEX(Logic_Core!D5:D30,MATCH(LARGE(Logic_Core!J5:J30,5),Logic_Core!J5:J30,0)),"—")</f>
        <v>—</v>
      </c>
      <c r="D21" s="61" t="str">
        <f>IFERROR(INDEX(Logic_Core!I5:I30,MATCH(LARGE(Logic_Core!J5:J30,5),Logic_Core!J5:J30,0)),"—")</f>
        <v>—</v>
      </c>
      <c r="E21" s="62" t="str">
        <f>IFERROR(LARGE(Logic_Core!J5:J30,5),"—")</f>
        <v>—</v>
      </c>
      <c r="F21" s="61" t="str">
        <f>IFERROR(IF(LARGE(Logic_Core!J5:J30,5)&gt;=0.9,"🔥 ELITE",IF(LARGE(Logic_Core!J5:J30,5)&gt;=0.8,"✅ HOT",IF(LARGE(Logic_Core!J5:J30,5)&gt;=0.6,"🟡 WARM","❌ COLD"))),"—")</f>
        <v>—</v>
      </c>
    </row>
    <row r="22" spans="1:6" ht="21.75" customHeight="1" x14ac:dyDescent="0.2">
      <c r="A22" s="26">
        <v>6</v>
      </c>
      <c r="B22" s="61" t="str">
        <f>IFERROR(INDEX(Logic_Core!A5:A30,MATCH(LARGE(Logic_Core!J5:J30,6),Logic_Core!J5:J30,0)),"—")</f>
        <v>—</v>
      </c>
      <c r="C22" s="61" t="str">
        <f>IFERROR(INDEX(Logic_Core!D5:D30,MATCH(LARGE(Logic_Core!J5:J30,6),Logic_Core!J5:J30,0)),"—")</f>
        <v>—</v>
      </c>
      <c r="D22" s="61" t="str">
        <f>IFERROR(INDEX(Logic_Core!I5:I30,MATCH(LARGE(Logic_Core!J5:J30,6),Logic_Core!J5:J30,0)),"—")</f>
        <v>—</v>
      </c>
      <c r="E22" s="62" t="str">
        <f>IFERROR(LARGE(Logic_Core!J5:J30,6),"—")</f>
        <v>—</v>
      </c>
      <c r="F22" s="61" t="str">
        <f>IFERROR(IF(LARGE(Logic_Core!J5:J30,6)&gt;=0.9,"🔥 ELITE",IF(LARGE(Logic_Core!J5:J30,6)&gt;=0.8,"✅ HOT",IF(LARGE(Logic_Core!J5:J30,6)&gt;=0.6,"🟡 WARM","❌ COLD"))),"—")</f>
        <v>—</v>
      </c>
    </row>
    <row r="23" spans="1:6" ht="21.75" customHeight="1" x14ac:dyDescent="0.2">
      <c r="A23" s="26">
        <v>7</v>
      </c>
      <c r="B23" s="61" t="str">
        <f>IFERROR(INDEX(Logic_Core!A5:A30,MATCH(LARGE(Logic_Core!J5:J30,7),Logic_Core!J5:J30,0)),"—")</f>
        <v>—</v>
      </c>
      <c r="C23" s="61" t="str">
        <f>IFERROR(INDEX(Logic_Core!D5:D30,MATCH(LARGE(Logic_Core!J5:J30,7),Logic_Core!J5:J30,0)),"—")</f>
        <v>—</v>
      </c>
      <c r="D23" s="61" t="str">
        <f>IFERROR(INDEX(Logic_Core!I5:I30,MATCH(LARGE(Logic_Core!J5:J30,7),Logic_Core!J5:J30,0)),"—")</f>
        <v>—</v>
      </c>
      <c r="E23" s="62" t="str">
        <f>IFERROR(LARGE(Logic_Core!J5:J30,7),"—")</f>
        <v>—</v>
      </c>
      <c r="F23" s="61" t="str">
        <f>IFERROR(IF(LARGE(Logic_Core!J5:J30,7)&gt;=0.9,"🔥 ELITE",IF(LARGE(Logic_Core!J5:J30,7)&gt;=0.8,"✅ HOT",IF(LARGE(Logic_Core!J5:J30,7)&gt;=0.6,"🟡 WARM","❌ COLD"))),"—")</f>
        <v>—</v>
      </c>
    </row>
    <row r="24" spans="1:6" ht="21.75" customHeight="1" x14ac:dyDescent="0.2">
      <c r="A24" s="26">
        <v>8</v>
      </c>
      <c r="B24" s="61" t="str">
        <f>IFERROR(INDEX(Logic_Core!A5:A30,MATCH(LARGE(Logic_Core!J5:J30,8),Logic_Core!J5:J30,0)),"—")</f>
        <v>—</v>
      </c>
      <c r="C24" s="61" t="str">
        <f>IFERROR(INDEX(Logic_Core!D5:D30,MATCH(LARGE(Logic_Core!J5:J30,8),Logic_Core!J5:J30,0)),"—")</f>
        <v>—</v>
      </c>
      <c r="D24" s="61" t="str">
        <f>IFERROR(INDEX(Logic_Core!I5:I30,MATCH(LARGE(Logic_Core!J5:J30,8),Logic_Core!J5:J30,0)),"—")</f>
        <v>—</v>
      </c>
      <c r="E24" s="62" t="str">
        <f>IFERROR(LARGE(Logic_Core!J5:J30,8),"—")</f>
        <v>—</v>
      </c>
      <c r="F24" s="61" t="str">
        <f>IFERROR(IF(LARGE(Logic_Core!J5:J30,8)&gt;=0.9,"🔥 ELITE",IF(LARGE(Logic_Core!J5:J30,8)&gt;=0.8,"✅ HOT",IF(LARGE(Logic_Core!J5:J30,8)&gt;=0.6,"🟡 WARM","❌ COLD"))),"—")</f>
        <v>—</v>
      </c>
    </row>
  </sheetData>
  <mergeCells count="13">
    <mergeCell ref="B12:H12"/>
    <mergeCell ref="B13:H13"/>
    <mergeCell ref="A15:H15"/>
    <mergeCell ref="A7:H7"/>
    <mergeCell ref="B8:H8"/>
    <mergeCell ref="B9:H9"/>
    <mergeCell ref="B10:H10"/>
    <mergeCell ref="B11:H11"/>
    <mergeCell ref="A1:H1"/>
    <mergeCell ref="A2:H2"/>
    <mergeCell ref="B3:H3"/>
    <mergeCell ref="B4:H4"/>
    <mergeCell ref="B5:H5"/>
  </mergeCells>
  <conditionalFormatting sqref="A17:F24">
    <cfRule type="expression" dxfId="1" priority="2">
      <formula>$E17&gt;=0.8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J38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4" customWidth="1"/>
    <col min="2" max="2" width="11" customWidth="1"/>
    <col min="3" max="3" width="13" customWidth="1"/>
    <col min="4" max="7" width="12" customWidth="1"/>
    <col min="8" max="8" width="14" customWidth="1"/>
    <col min="9" max="9" width="13" customWidth="1"/>
    <col min="10" max="10" width="10" customWidth="1"/>
  </cols>
  <sheetData>
    <row r="1" spans="1:10" ht="36" customHeight="1" x14ac:dyDescent="0.2">
      <c r="A1" s="14" t="s">
        <v>101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7.75" customHeight="1" x14ac:dyDescent="0.2">
      <c r="A2" s="70" t="s">
        <v>102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36" customHeight="1" x14ac:dyDescent="0.2">
      <c r="A3" s="15" t="s">
        <v>103</v>
      </c>
      <c r="B3" s="15" t="s">
        <v>104</v>
      </c>
      <c r="C3" s="15" t="s">
        <v>105</v>
      </c>
      <c r="D3" s="15" t="s">
        <v>106</v>
      </c>
      <c r="E3" s="15" t="s">
        <v>107</v>
      </c>
      <c r="F3" s="15" t="s">
        <v>108</v>
      </c>
      <c r="G3" s="15" t="s">
        <v>109</v>
      </c>
      <c r="H3" s="15" t="s">
        <v>110</v>
      </c>
      <c r="I3" s="15" t="s">
        <v>99</v>
      </c>
      <c r="J3" s="15" t="s">
        <v>38</v>
      </c>
    </row>
    <row r="4" spans="1:10" ht="15" customHeight="1" x14ac:dyDescent="0.2">
      <c r="A4" s="61" t="s">
        <v>111</v>
      </c>
      <c r="B4" s="61">
        <v>1</v>
      </c>
      <c r="C4" s="61">
        <f>COUNTIFS(Live_Input!M3:M102,1,Live_Input!L3:L102,"&lt;&gt;"&amp;"")</f>
        <v>0</v>
      </c>
      <c r="D4" s="62" t="str">
        <f>IFERROR(COUNTIFS(Live_Input!M3:M102,1,Live_Input!L3:L102,"Fastball")/C4,"")</f>
        <v/>
      </c>
      <c r="E4" s="62" t="str">
        <f>IFERROR(COUNTIFS(Live_Input!M3:M102,1,Live_Input!L3:L102,"Curveball")/C4,"")</f>
        <v/>
      </c>
      <c r="F4" s="62" t="str">
        <f>IFERROR(COUNTIFS(Live_Input!M3:M102,1,Live_Input!L3:L102,"Slider")/C4,"")</f>
        <v/>
      </c>
      <c r="G4" s="62" t="str">
        <f>IFERROR(COUNTIFS(Live_Input!M3:M102,1,Live_Input!L3:L102,"Changeup")/C4,"")</f>
        <v/>
      </c>
      <c r="H4" s="61" t="str">
        <f>IFERROR(INDEX({"Fastball","Curveball","Slider","Changeup"},MATCH(MAX(D4:G4),D4:G4,0)),"")</f>
        <v/>
      </c>
      <c r="I4" s="62">
        <f t="shared" ref="I4:I38" si="0">IFERROR(MAX(D4:G4),"")</f>
        <v>0</v>
      </c>
      <c r="J4" s="61" t="str">
        <f t="shared" ref="J4:J38" si="1">IF(AND(C4&gt;=5,I4&gt;=0.8),"🔥 HOT","—")</f>
        <v>—</v>
      </c>
    </row>
    <row r="5" spans="1:10" ht="15" customHeight="1" x14ac:dyDescent="0.2">
      <c r="A5" s="61" t="s">
        <v>111</v>
      </c>
      <c r="B5" s="61">
        <v>2</v>
      </c>
      <c r="C5" s="61">
        <f>COUNTIFS(Live_Input!M3:M102,2,Live_Input!L3:L102,"&lt;&gt;"&amp;"")</f>
        <v>0</v>
      </c>
      <c r="D5" s="62" t="str">
        <f>IFERROR(COUNTIFS(Live_Input!M3:M102,2,Live_Input!L3:L102,"Fastball")/C5,"")</f>
        <v/>
      </c>
      <c r="E5" s="62" t="str">
        <f>IFERROR(COUNTIFS(Live_Input!M3:M102,2,Live_Input!L3:L102,"Curveball")/C5,"")</f>
        <v/>
      </c>
      <c r="F5" s="62" t="str">
        <f>IFERROR(COUNTIFS(Live_Input!M3:M102,2,Live_Input!L3:L102,"Slider")/C5,"")</f>
        <v/>
      </c>
      <c r="G5" s="62" t="str">
        <f>IFERROR(COUNTIFS(Live_Input!M3:M102,2,Live_Input!L3:L102,"Changeup")/C5,"")</f>
        <v/>
      </c>
      <c r="H5" s="61" t="str">
        <f>IFERROR(INDEX({"Fastball","Curveball","Slider","Changeup"},MATCH(MAX(D5:G5),D5:G5,0)),"")</f>
        <v/>
      </c>
      <c r="I5" s="62">
        <f t="shared" si="0"/>
        <v>0</v>
      </c>
      <c r="J5" s="61" t="str">
        <f t="shared" si="1"/>
        <v>—</v>
      </c>
    </row>
    <row r="6" spans="1:10" ht="15" customHeight="1" x14ac:dyDescent="0.2">
      <c r="A6" s="61" t="s">
        <v>111</v>
      </c>
      <c r="B6" s="61">
        <v>3</v>
      </c>
      <c r="C6" s="61">
        <f>COUNTIFS(Live_Input!M3:M102,3,Live_Input!L3:L102,"&lt;&gt;"&amp;"")</f>
        <v>0</v>
      </c>
      <c r="D6" s="62" t="str">
        <f>IFERROR(COUNTIFS(Live_Input!M3:M102,3,Live_Input!L3:L102,"Fastball")/C6,"")</f>
        <v/>
      </c>
      <c r="E6" s="62" t="str">
        <f>IFERROR(COUNTIFS(Live_Input!M3:M102,3,Live_Input!L3:L102,"Curveball")/C6,"")</f>
        <v/>
      </c>
      <c r="F6" s="62" t="str">
        <f>IFERROR(COUNTIFS(Live_Input!M3:M102,3,Live_Input!L3:L102,"Slider")/C6,"")</f>
        <v/>
      </c>
      <c r="G6" s="62" t="str">
        <f>IFERROR(COUNTIFS(Live_Input!M3:M102,3,Live_Input!L3:L102,"Changeup")/C6,"")</f>
        <v/>
      </c>
      <c r="H6" s="61" t="str">
        <f>IFERROR(INDEX({"Fastball","Curveball","Slider","Changeup"},MATCH(MAX(D6:G6),D6:G6,0)),"")</f>
        <v/>
      </c>
      <c r="I6" s="62">
        <f t="shared" si="0"/>
        <v>0</v>
      </c>
      <c r="J6" s="61" t="str">
        <f t="shared" si="1"/>
        <v>—</v>
      </c>
    </row>
    <row r="7" spans="1:10" ht="15" customHeight="1" x14ac:dyDescent="0.2">
      <c r="A7" s="61" t="s">
        <v>111</v>
      </c>
      <c r="B7" s="61">
        <v>4</v>
      </c>
      <c r="C7" s="61">
        <f>COUNTIFS(Live_Input!M3:M102,4,Live_Input!L3:L102,"&lt;&gt;"&amp;"")</f>
        <v>0</v>
      </c>
      <c r="D7" s="62" t="str">
        <f>IFERROR(COUNTIFS(Live_Input!M3:M102,4,Live_Input!L3:L102,"Fastball")/C7,"")</f>
        <v/>
      </c>
      <c r="E7" s="62" t="str">
        <f>IFERROR(COUNTIFS(Live_Input!M3:M102,4,Live_Input!L3:L102,"Curveball")/C7,"")</f>
        <v/>
      </c>
      <c r="F7" s="62" t="str">
        <f>IFERROR(COUNTIFS(Live_Input!M3:M102,4,Live_Input!L3:L102,"Slider")/C7,"")</f>
        <v/>
      </c>
      <c r="G7" s="62" t="str">
        <f>IFERROR(COUNTIFS(Live_Input!M3:M102,4,Live_Input!L3:L102,"Changeup")/C7,"")</f>
        <v/>
      </c>
      <c r="H7" s="61" t="str">
        <f>IFERROR(INDEX({"Fastball","Curveball","Slider","Changeup"},MATCH(MAX(D7:G7),D7:G7,0)),"")</f>
        <v/>
      </c>
      <c r="I7" s="62">
        <f t="shared" si="0"/>
        <v>0</v>
      </c>
      <c r="J7" s="61" t="str">
        <f t="shared" si="1"/>
        <v>—</v>
      </c>
    </row>
    <row r="8" spans="1:10" ht="15" customHeight="1" x14ac:dyDescent="0.2">
      <c r="A8" s="61" t="s">
        <v>111</v>
      </c>
      <c r="B8" s="61">
        <v>5</v>
      </c>
      <c r="C8" s="61">
        <f>COUNTIFS(Live_Input!M3:M102,5,Live_Input!L3:L102,"&lt;&gt;"&amp;"")</f>
        <v>0</v>
      </c>
      <c r="D8" s="62" t="str">
        <f>IFERROR(COUNTIFS(Live_Input!M3:M102,5,Live_Input!L3:L102,"Fastball")/C8,"")</f>
        <v/>
      </c>
      <c r="E8" s="62" t="str">
        <f>IFERROR(COUNTIFS(Live_Input!M3:M102,5,Live_Input!L3:L102,"Curveball")/C8,"")</f>
        <v/>
      </c>
      <c r="F8" s="62" t="str">
        <f>IFERROR(COUNTIFS(Live_Input!M3:M102,5,Live_Input!L3:L102,"Slider")/C8,"")</f>
        <v/>
      </c>
      <c r="G8" s="62" t="str">
        <f>IFERROR(COUNTIFS(Live_Input!M3:M102,5,Live_Input!L3:L102,"Changeup")/C8,"")</f>
        <v/>
      </c>
      <c r="H8" s="61" t="str">
        <f>IFERROR(INDEX({"Fastball","Curveball","Slider","Changeup"},MATCH(MAX(D8:G8),D8:G8,0)),"")</f>
        <v/>
      </c>
      <c r="I8" s="62">
        <f t="shared" si="0"/>
        <v>0</v>
      </c>
      <c r="J8" s="61" t="str">
        <f t="shared" si="1"/>
        <v>—</v>
      </c>
    </row>
    <row r="9" spans="1:10" ht="15" customHeight="1" x14ac:dyDescent="0.2">
      <c r="A9" s="61" t="s">
        <v>112</v>
      </c>
      <c r="B9" s="61">
        <v>1</v>
      </c>
      <c r="C9" s="61">
        <f>COUNTIFS(Live_Input!N3:N102,1,Live_Input!L3:L102,"&lt;&gt;"&amp;"")</f>
        <v>0</v>
      </c>
      <c r="D9" s="62" t="str">
        <f>IFERROR(COUNTIFS(Live_Input!N3:N102,1,Live_Input!L3:L102,"Fastball")/C9,"")</f>
        <v/>
      </c>
      <c r="E9" s="62" t="str">
        <f>IFERROR(COUNTIFS(Live_Input!N3:N102,1,Live_Input!L3:L102,"Curveball")/C9,"")</f>
        <v/>
      </c>
      <c r="F9" s="62" t="str">
        <f>IFERROR(COUNTIFS(Live_Input!N3:N102,1,Live_Input!L3:L102,"Slider")/C9,"")</f>
        <v/>
      </c>
      <c r="G9" s="62" t="str">
        <f>IFERROR(COUNTIFS(Live_Input!N3:N102,1,Live_Input!L3:L102,"Changeup")/C9,"")</f>
        <v/>
      </c>
      <c r="H9" s="61" t="str">
        <f>IFERROR(INDEX({"Fastball","Curveball","Slider","Changeup"},MATCH(MAX(D9:G9),D9:G9,0)),"")</f>
        <v/>
      </c>
      <c r="I9" s="62">
        <f t="shared" si="0"/>
        <v>0</v>
      </c>
      <c r="J9" s="61" t="str">
        <f t="shared" si="1"/>
        <v>—</v>
      </c>
    </row>
    <row r="10" spans="1:10" ht="15" customHeight="1" x14ac:dyDescent="0.2">
      <c r="A10" s="61" t="s">
        <v>112</v>
      </c>
      <c r="B10" s="61">
        <v>2</v>
      </c>
      <c r="C10" s="61">
        <f>COUNTIFS(Live_Input!N3:N102,2,Live_Input!L3:L102,"&lt;&gt;"&amp;"")</f>
        <v>0</v>
      </c>
      <c r="D10" s="62" t="str">
        <f>IFERROR(COUNTIFS(Live_Input!N3:N102,2,Live_Input!L3:L102,"Fastball")/C10,"")</f>
        <v/>
      </c>
      <c r="E10" s="62" t="str">
        <f>IFERROR(COUNTIFS(Live_Input!N3:N102,2,Live_Input!L3:L102,"Curveball")/C10,"")</f>
        <v/>
      </c>
      <c r="F10" s="62" t="str">
        <f>IFERROR(COUNTIFS(Live_Input!N3:N102,2,Live_Input!L3:L102,"Slider")/C10,"")</f>
        <v/>
      </c>
      <c r="G10" s="62" t="str">
        <f>IFERROR(COUNTIFS(Live_Input!N3:N102,2,Live_Input!L3:L102,"Changeup")/C10,"")</f>
        <v/>
      </c>
      <c r="H10" s="61" t="str">
        <f>IFERROR(INDEX({"Fastball","Curveball","Slider","Changeup"},MATCH(MAX(D10:G10),D10:G10,0)),"")</f>
        <v/>
      </c>
      <c r="I10" s="62">
        <f t="shared" si="0"/>
        <v>0</v>
      </c>
      <c r="J10" s="61" t="str">
        <f t="shared" si="1"/>
        <v>—</v>
      </c>
    </row>
    <row r="11" spans="1:10" ht="15" customHeight="1" x14ac:dyDescent="0.2">
      <c r="A11" s="61" t="s">
        <v>112</v>
      </c>
      <c r="B11" s="61">
        <v>3</v>
      </c>
      <c r="C11" s="61">
        <f>COUNTIFS(Live_Input!N3:N102,3,Live_Input!L3:L102,"&lt;&gt;"&amp;"")</f>
        <v>0</v>
      </c>
      <c r="D11" s="62" t="str">
        <f>IFERROR(COUNTIFS(Live_Input!N3:N102,3,Live_Input!L3:L102,"Fastball")/C11,"")</f>
        <v/>
      </c>
      <c r="E11" s="62" t="str">
        <f>IFERROR(COUNTIFS(Live_Input!N3:N102,3,Live_Input!L3:L102,"Curveball")/C11,"")</f>
        <v/>
      </c>
      <c r="F11" s="62" t="str">
        <f>IFERROR(COUNTIFS(Live_Input!N3:N102,3,Live_Input!L3:L102,"Slider")/C11,"")</f>
        <v/>
      </c>
      <c r="G11" s="62" t="str">
        <f>IFERROR(COUNTIFS(Live_Input!N3:N102,3,Live_Input!L3:L102,"Changeup")/C11,"")</f>
        <v/>
      </c>
      <c r="H11" s="61" t="str">
        <f>IFERROR(INDEX({"Fastball","Curveball","Slider","Changeup"},MATCH(MAX(D11:G11),D11:G11,0)),"")</f>
        <v/>
      </c>
      <c r="I11" s="62">
        <f t="shared" si="0"/>
        <v>0</v>
      </c>
      <c r="J11" s="61" t="str">
        <f t="shared" si="1"/>
        <v>—</v>
      </c>
    </row>
    <row r="12" spans="1:10" ht="15" customHeight="1" x14ac:dyDescent="0.2">
      <c r="A12" s="61" t="s">
        <v>112</v>
      </c>
      <c r="B12" s="61">
        <v>4</v>
      </c>
      <c r="C12" s="61">
        <f>COUNTIFS(Live_Input!N3:N102,4,Live_Input!L3:L102,"&lt;&gt;"&amp;"")</f>
        <v>0</v>
      </c>
      <c r="D12" s="62" t="str">
        <f>IFERROR(COUNTIFS(Live_Input!N3:N102,4,Live_Input!L3:L102,"Fastball")/C12,"")</f>
        <v/>
      </c>
      <c r="E12" s="62" t="str">
        <f>IFERROR(COUNTIFS(Live_Input!N3:N102,4,Live_Input!L3:L102,"Curveball")/C12,"")</f>
        <v/>
      </c>
      <c r="F12" s="62" t="str">
        <f>IFERROR(COUNTIFS(Live_Input!N3:N102,4,Live_Input!L3:L102,"Slider")/C12,"")</f>
        <v/>
      </c>
      <c r="G12" s="62" t="str">
        <f>IFERROR(COUNTIFS(Live_Input!N3:N102,4,Live_Input!L3:L102,"Changeup")/C12,"")</f>
        <v/>
      </c>
      <c r="H12" s="61" t="str">
        <f>IFERROR(INDEX({"Fastball","Curveball","Slider","Changeup"},MATCH(MAX(D12:G12),D12:G12,0)),"")</f>
        <v/>
      </c>
      <c r="I12" s="62">
        <f t="shared" si="0"/>
        <v>0</v>
      </c>
      <c r="J12" s="61" t="str">
        <f t="shared" si="1"/>
        <v>—</v>
      </c>
    </row>
    <row r="13" spans="1:10" ht="15" customHeight="1" x14ac:dyDescent="0.2">
      <c r="A13" s="61" t="s">
        <v>112</v>
      </c>
      <c r="B13" s="61">
        <v>5</v>
      </c>
      <c r="C13" s="61">
        <f>COUNTIFS(Live_Input!N3:N102,5,Live_Input!L3:L102,"&lt;&gt;"&amp;"")</f>
        <v>0</v>
      </c>
      <c r="D13" s="62" t="str">
        <f>IFERROR(COUNTIFS(Live_Input!N3:N102,5,Live_Input!L3:L102,"Fastball")/C13,"")</f>
        <v/>
      </c>
      <c r="E13" s="62" t="str">
        <f>IFERROR(COUNTIFS(Live_Input!N3:N102,5,Live_Input!L3:L102,"Curveball")/C13,"")</f>
        <v/>
      </c>
      <c r="F13" s="62" t="str">
        <f>IFERROR(COUNTIFS(Live_Input!N3:N102,5,Live_Input!L3:L102,"Slider")/C13,"")</f>
        <v/>
      </c>
      <c r="G13" s="62" t="str">
        <f>IFERROR(COUNTIFS(Live_Input!N3:N102,5,Live_Input!L3:L102,"Changeup")/C13,"")</f>
        <v/>
      </c>
      <c r="H13" s="61" t="str">
        <f>IFERROR(INDEX({"Fastball","Curveball","Slider","Changeup"},MATCH(MAX(D13:G13),D13:G13,0)),"")</f>
        <v/>
      </c>
      <c r="I13" s="62">
        <f t="shared" si="0"/>
        <v>0</v>
      </c>
      <c r="J13" s="61" t="str">
        <f t="shared" si="1"/>
        <v>—</v>
      </c>
    </row>
    <row r="14" spans="1:10" ht="15" customHeight="1" x14ac:dyDescent="0.2">
      <c r="A14" s="61" t="s">
        <v>113</v>
      </c>
      <c r="B14" s="61">
        <v>1</v>
      </c>
      <c r="C14" s="61">
        <f>COUNTIFS(Live_Input!O3:O102,1,Live_Input!L3:L102,"&lt;&gt;"&amp;"")</f>
        <v>0</v>
      </c>
      <c r="D14" s="62" t="str">
        <f>IFERROR(COUNTIFS(Live_Input!O3:O102,1,Live_Input!L3:L102,"Fastball")/C14,"")</f>
        <v/>
      </c>
      <c r="E14" s="62" t="str">
        <f>IFERROR(COUNTIFS(Live_Input!O3:O102,1,Live_Input!L3:L102,"Curveball")/C14,"")</f>
        <v/>
      </c>
      <c r="F14" s="62" t="str">
        <f>IFERROR(COUNTIFS(Live_Input!O3:O102,1,Live_Input!L3:L102,"Slider")/C14,"")</f>
        <v/>
      </c>
      <c r="G14" s="62" t="str">
        <f>IFERROR(COUNTIFS(Live_Input!O3:O102,1,Live_Input!L3:L102,"Changeup")/C14,"")</f>
        <v/>
      </c>
      <c r="H14" s="61" t="str">
        <f>IFERROR(INDEX({"Fastball","Curveball","Slider","Changeup"},MATCH(MAX(D14:G14),D14:G14,0)),"")</f>
        <v/>
      </c>
      <c r="I14" s="62">
        <f t="shared" si="0"/>
        <v>0</v>
      </c>
      <c r="J14" s="61" t="str">
        <f t="shared" si="1"/>
        <v>—</v>
      </c>
    </row>
    <row r="15" spans="1:10" ht="15" customHeight="1" x14ac:dyDescent="0.2">
      <c r="A15" s="61" t="s">
        <v>113</v>
      </c>
      <c r="B15" s="61">
        <v>2</v>
      </c>
      <c r="C15" s="61">
        <f>COUNTIFS(Live_Input!O3:O102,2,Live_Input!L3:L102,"&lt;&gt;"&amp;"")</f>
        <v>0</v>
      </c>
      <c r="D15" s="62" t="str">
        <f>IFERROR(COUNTIFS(Live_Input!O3:O102,2,Live_Input!L3:L102,"Fastball")/C15,"")</f>
        <v/>
      </c>
      <c r="E15" s="62" t="str">
        <f>IFERROR(COUNTIFS(Live_Input!O3:O102,2,Live_Input!L3:L102,"Curveball")/C15,"")</f>
        <v/>
      </c>
      <c r="F15" s="62" t="str">
        <f>IFERROR(COUNTIFS(Live_Input!O3:O102,2,Live_Input!L3:L102,"Slider")/C15,"")</f>
        <v/>
      </c>
      <c r="G15" s="62" t="str">
        <f>IFERROR(COUNTIFS(Live_Input!O3:O102,2,Live_Input!L3:L102,"Changeup")/C15,"")</f>
        <v/>
      </c>
      <c r="H15" s="61" t="str">
        <f>IFERROR(INDEX({"Fastball","Curveball","Slider","Changeup"},MATCH(MAX(D15:G15),D15:G15,0)),"")</f>
        <v/>
      </c>
      <c r="I15" s="62">
        <f t="shared" si="0"/>
        <v>0</v>
      </c>
      <c r="J15" s="61" t="str">
        <f t="shared" si="1"/>
        <v>—</v>
      </c>
    </row>
    <row r="16" spans="1:10" ht="15" customHeight="1" x14ac:dyDescent="0.2">
      <c r="A16" s="61" t="s">
        <v>113</v>
      </c>
      <c r="B16" s="61">
        <v>3</v>
      </c>
      <c r="C16" s="61">
        <f>COUNTIFS(Live_Input!O3:O102,3,Live_Input!L3:L102,"&lt;&gt;"&amp;"")</f>
        <v>0</v>
      </c>
      <c r="D16" s="62" t="str">
        <f>IFERROR(COUNTIFS(Live_Input!O3:O102,3,Live_Input!L3:L102,"Fastball")/C16,"")</f>
        <v/>
      </c>
      <c r="E16" s="62" t="str">
        <f>IFERROR(COUNTIFS(Live_Input!O3:O102,3,Live_Input!L3:L102,"Curveball")/C16,"")</f>
        <v/>
      </c>
      <c r="F16" s="62" t="str">
        <f>IFERROR(COUNTIFS(Live_Input!O3:O102,3,Live_Input!L3:L102,"Slider")/C16,"")</f>
        <v/>
      </c>
      <c r="G16" s="62" t="str">
        <f>IFERROR(COUNTIFS(Live_Input!O3:O102,3,Live_Input!L3:L102,"Changeup")/C16,"")</f>
        <v/>
      </c>
      <c r="H16" s="61" t="str">
        <f>IFERROR(INDEX({"Fastball","Curveball","Slider","Changeup"},MATCH(MAX(D16:G16),D16:G16,0)),"")</f>
        <v/>
      </c>
      <c r="I16" s="62">
        <f t="shared" si="0"/>
        <v>0</v>
      </c>
      <c r="J16" s="61" t="str">
        <f t="shared" si="1"/>
        <v>—</v>
      </c>
    </row>
    <row r="17" spans="1:10" ht="15" customHeight="1" x14ac:dyDescent="0.2">
      <c r="A17" s="61" t="s">
        <v>113</v>
      </c>
      <c r="B17" s="61">
        <v>4</v>
      </c>
      <c r="C17" s="61">
        <f>COUNTIFS(Live_Input!O3:O102,4,Live_Input!L3:L102,"&lt;&gt;"&amp;"")</f>
        <v>0</v>
      </c>
      <c r="D17" s="62" t="str">
        <f>IFERROR(COUNTIFS(Live_Input!O3:O102,4,Live_Input!L3:L102,"Fastball")/C17,"")</f>
        <v/>
      </c>
      <c r="E17" s="62" t="str">
        <f>IFERROR(COUNTIFS(Live_Input!O3:O102,4,Live_Input!L3:L102,"Curveball")/C17,"")</f>
        <v/>
      </c>
      <c r="F17" s="62" t="str">
        <f>IFERROR(COUNTIFS(Live_Input!O3:O102,4,Live_Input!L3:L102,"Slider")/C17,"")</f>
        <v/>
      </c>
      <c r="G17" s="62" t="str">
        <f>IFERROR(COUNTIFS(Live_Input!O3:O102,4,Live_Input!L3:L102,"Changeup")/C17,"")</f>
        <v/>
      </c>
      <c r="H17" s="61" t="str">
        <f>IFERROR(INDEX({"Fastball","Curveball","Slider","Changeup"},MATCH(MAX(D17:G17),D17:G17,0)),"")</f>
        <v/>
      </c>
      <c r="I17" s="62">
        <f t="shared" si="0"/>
        <v>0</v>
      </c>
      <c r="J17" s="61" t="str">
        <f t="shared" si="1"/>
        <v>—</v>
      </c>
    </row>
    <row r="18" spans="1:10" ht="15" customHeight="1" x14ac:dyDescent="0.2">
      <c r="A18" s="61" t="s">
        <v>113</v>
      </c>
      <c r="B18" s="61">
        <v>5</v>
      </c>
      <c r="C18" s="61">
        <f>COUNTIFS(Live_Input!O3:O102,5,Live_Input!L3:L102,"&lt;&gt;"&amp;"")</f>
        <v>0</v>
      </c>
      <c r="D18" s="62" t="str">
        <f>IFERROR(COUNTIFS(Live_Input!O3:O102,5,Live_Input!L3:L102,"Fastball")/C18,"")</f>
        <v/>
      </c>
      <c r="E18" s="62" t="str">
        <f>IFERROR(COUNTIFS(Live_Input!O3:O102,5,Live_Input!L3:L102,"Curveball")/C18,"")</f>
        <v/>
      </c>
      <c r="F18" s="62" t="str">
        <f>IFERROR(COUNTIFS(Live_Input!O3:O102,5,Live_Input!L3:L102,"Slider")/C18,"")</f>
        <v/>
      </c>
      <c r="G18" s="62" t="str">
        <f>IFERROR(COUNTIFS(Live_Input!O3:O102,5,Live_Input!L3:L102,"Changeup")/C18,"")</f>
        <v/>
      </c>
      <c r="H18" s="61" t="str">
        <f>IFERROR(INDEX({"Fastball","Curveball","Slider","Changeup"},MATCH(MAX(D18:G18),D18:G18,0)),"")</f>
        <v/>
      </c>
      <c r="I18" s="62">
        <f t="shared" si="0"/>
        <v>0</v>
      </c>
      <c r="J18" s="61" t="str">
        <f t="shared" si="1"/>
        <v>—</v>
      </c>
    </row>
    <row r="19" spans="1:10" ht="15" customHeight="1" x14ac:dyDescent="0.2">
      <c r="A19" s="61" t="s">
        <v>114</v>
      </c>
      <c r="B19" s="61">
        <v>1</v>
      </c>
      <c r="C19" s="61">
        <f>COUNTIFS(Live_Input!P3:P102,1,Live_Input!L3:L102,"&lt;&gt;"&amp;"")</f>
        <v>0</v>
      </c>
      <c r="D19" s="62" t="str">
        <f>IFERROR(COUNTIFS(Live_Input!P3:P102,1,Live_Input!L3:L102,"Fastball")/C19,"")</f>
        <v/>
      </c>
      <c r="E19" s="62" t="str">
        <f>IFERROR(COUNTIFS(Live_Input!P3:P102,1,Live_Input!L3:L102,"Curveball")/C19,"")</f>
        <v/>
      </c>
      <c r="F19" s="62" t="str">
        <f>IFERROR(COUNTIFS(Live_Input!P3:P102,1,Live_Input!L3:L102,"Slider")/C19,"")</f>
        <v/>
      </c>
      <c r="G19" s="62" t="str">
        <f>IFERROR(COUNTIFS(Live_Input!P3:P102,1,Live_Input!L3:L102,"Changeup")/C19,"")</f>
        <v/>
      </c>
      <c r="H19" s="61" t="str">
        <f>IFERROR(INDEX({"Fastball","Curveball","Slider","Changeup"},MATCH(MAX(D19:G19),D19:G19,0)),"")</f>
        <v/>
      </c>
      <c r="I19" s="62">
        <f t="shared" si="0"/>
        <v>0</v>
      </c>
      <c r="J19" s="61" t="str">
        <f t="shared" si="1"/>
        <v>—</v>
      </c>
    </row>
    <row r="20" spans="1:10" ht="15" customHeight="1" x14ac:dyDescent="0.2">
      <c r="A20" s="61" t="s">
        <v>114</v>
      </c>
      <c r="B20" s="61">
        <v>2</v>
      </c>
      <c r="C20" s="61">
        <f>COUNTIFS(Live_Input!P3:P102,2,Live_Input!L3:L102,"&lt;&gt;"&amp;"")</f>
        <v>0</v>
      </c>
      <c r="D20" s="62" t="str">
        <f>IFERROR(COUNTIFS(Live_Input!P3:P102,2,Live_Input!L3:L102,"Fastball")/C20,"")</f>
        <v/>
      </c>
      <c r="E20" s="62" t="str">
        <f>IFERROR(COUNTIFS(Live_Input!P3:P102,2,Live_Input!L3:L102,"Curveball")/C20,"")</f>
        <v/>
      </c>
      <c r="F20" s="62" t="str">
        <f>IFERROR(COUNTIFS(Live_Input!P3:P102,2,Live_Input!L3:L102,"Slider")/C20,"")</f>
        <v/>
      </c>
      <c r="G20" s="62" t="str">
        <f>IFERROR(COUNTIFS(Live_Input!P3:P102,2,Live_Input!L3:L102,"Changeup")/C20,"")</f>
        <v/>
      </c>
      <c r="H20" s="61" t="str">
        <f>IFERROR(INDEX({"Fastball","Curveball","Slider","Changeup"},MATCH(MAX(D20:G20),D20:G20,0)),"")</f>
        <v/>
      </c>
      <c r="I20" s="62">
        <f t="shared" si="0"/>
        <v>0</v>
      </c>
      <c r="J20" s="61" t="str">
        <f t="shared" si="1"/>
        <v>—</v>
      </c>
    </row>
    <row r="21" spans="1:10" ht="15" customHeight="1" x14ac:dyDescent="0.2">
      <c r="A21" s="61" t="s">
        <v>114</v>
      </c>
      <c r="B21" s="61">
        <v>3</v>
      </c>
      <c r="C21" s="61">
        <f>COUNTIFS(Live_Input!P3:P102,3,Live_Input!L3:L102,"&lt;&gt;"&amp;"")</f>
        <v>0</v>
      </c>
      <c r="D21" s="62" t="str">
        <f>IFERROR(COUNTIFS(Live_Input!P3:P102,3,Live_Input!L3:L102,"Fastball")/C21,"")</f>
        <v/>
      </c>
      <c r="E21" s="62" t="str">
        <f>IFERROR(COUNTIFS(Live_Input!P3:P102,3,Live_Input!L3:L102,"Curveball")/C21,"")</f>
        <v/>
      </c>
      <c r="F21" s="62" t="str">
        <f>IFERROR(COUNTIFS(Live_Input!P3:P102,3,Live_Input!L3:L102,"Slider")/C21,"")</f>
        <v/>
      </c>
      <c r="G21" s="62" t="str">
        <f>IFERROR(COUNTIFS(Live_Input!P3:P102,3,Live_Input!L3:L102,"Changeup")/C21,"")</f>
        <v/>
      </c>
      <c r="H21" s="61" t="str">
        <f>IFERROR(INDEX({"Fastball","Curveball","Slider","Changeup"},MATCH(MAX(D21:G21),D21:G21,0)),"")</f>
        <v/>
      </c>
      <c r="I21" s="62">
        <f t="shared" si="0"/>
        <v>0</v>
      </c>
      <c r="J21" s="61" t="str">
        <f t="shared" si="1"/>
        <v>—</v>
      </c>
    </row>
    <row r="22" spans="1:10" ht="15" customHeight="1" x14ac:dyDescent="0.2">
      <c r="A22" s="61" t="s">
        <v>114</v>
      </c>
      <c r="B22" s="61">
        <v>4</v>
      </c>
      <c r="C22" s="61">
        <f>COUNTIFS(Live_Input!P3:P102,4,Live_Input!L3:L102,"&lt;&gt;"&amp;"")</f>
        <v>0</v>
      </c>
      <c r="D22" s="62" t="str">
        <f>IFERROR(COUNTIFS(Live_Input!P3:P102,4,Live_Input!L3:L102,"Fastball")/C22,"")</f>
        <v/>
      </c>
      <c r="E22" s="62" t="str">
        <f>IFERROR(COUNTIFS(Live_Input!P3:P102,4,Live_Input!L3:L102,"Curveball")/C22,"")</f>
        <v/>
      </c>
      <c r="F22" s="62" t="str">
        <f>IFERROR(COUNTIFS(Live_Input!P3:P102,4,Live_Input!L3:L102,"Slider")/C22,"")</f>
        <v/>
      </c>
      <c r="G22" s="62" t="str">
        <f>IFERROR(COUNTIFS(Live_Input!P3:P102,4,Live_Input!L3:L102,"Changeup")/C22,"")</f>
        <v/>
      </c>
      <c r="H22" s="61" t="str">
        <f>IFERROR(INDEX({"Fastball","Curveball","Slider","Changeup"},MATCH(MAX(D22:G22),D22:G22,0)),"")</f>
        <v/>
      </c>
      <c r="I22" s="62">
        <f t="shared" si="0"/>
        <v>0</v>
      </c>
      <c r="J22" s="61" t="str">
        <f t="shared" si="1"/>
        <v>—</v>
      </c>
    </row>
    <row r="23" spans="1:10" ht="15" customHeight="1" x14ac:dyDescent="0.2">
      <c r="A23" s="61" t="s">
        <v>114</v>
      </c>
      <c r="B23" s="61">
        <v>5</v>
      </c>
      <c r="C23" s="61">
        <f>COUNTIFS(Live_Input!P3:P102,5,Live_Input!L3:L102,"&lt;&gt;"&amp;"")</f>
        <v>0</v>
      </c>
      <c r="D23" s="62" t="str">
        <f>IFERROR(COUNTIFS(Live_Input!P3:P102,5,Live_Input!L3:L102,"Fastball")/C23,"")</f>
        <v/>
      </c>
      <c r="E23" s="62" t="str">
        <f>IFERROR(COUNTIFS(Live_Input!P3:P102,5,Live_Input!L3:L102,"Curveball")/C23,"")</f>
        <v/>
      </c>
      <c r="F23" s="62" t="str">
        <f>IFERROR(COUNTIFS(Live_Input!P3:P102,5,Live_Input!L3:L102,"Slider")/C23,"")</f>
        <v/>
      </c>
      <c r="G23" s="62" t="str">
        <f>IFERROR(COUNTIFS(Live_Input!P3:P102,5,Live_Input!L3:L102,"Changeup")/C23,"")</f>
        <v/>
      </c>
      <c r="H23" s="61" t="str">
        <f>IFERROR(INDEX({"Fastball","Curveball","Slider","Changeup"},MATCH(MAX(D23:G23),D23:G23,0)),"")</f>
        <v/>
      </c>
      <c r="I23" s="62">
        <f t="shared" si="0"/>
        <v>0</v>
      </c>
      <c r="J23" s="61" t="str">
        <f t="shared" si="1"/>
        <v>—</v>
      </c>
    </row>
    <row r="24" spans="1:10" ht="15" customHeight="1" x14ac:dyDescent="0.2">
      <c r="A24" s="61" t="s">
        <v>115</v>
      </c>
      <c r="B24" s="61">
        <v>1</v>
      </c>
      <c r="C24" s="61">
        <f>COUNTIFS(Live_Input!Q3:Q102,1,Live_Input!L3:L102,"&lt;&gt;"&amp;"")</f>
        <v>0</v>
      </c>
      <c r="D24" s="62" t="str">
        <f>IFERROR(COUNTIFS(Live_Input!Q3:Q102,1,Live_Input!L3:L102,"Fastball")/C24,"")</f>
        <v/>
      </c>
      <c r="E24" s="62" t="str">
        <f>IFERROR(COUNTIFS(Live_Input!Q3:Q102,1,Live_Input!L3:L102,"Curveball")/C24,"")</f>
        <v/>
      </c>
      <c r="F24" s="62" t="str">
        <f>IFERROR(COUNTIFS(Live_Input!Q3:Q102,1,Live_Input!L3:L102,"Slider")/C24,"")</f>
        <v/>
      </c>
      <c r="G24" s="62" t="str">
        <f>IFERROR(COUNTIFS(Live_Input!Q3:Q102,1,Live_Input!L3:L102,"Changeup")/C24,"")</f>
        <v/>
      </c>
      <c r="H24" s="61" t="str">
        <f>IFERROR(INDEX({"Fastball","Curveball","Slider","Changeup"},MATCH(MAX(D24:G24),D24:G24,0)),"")</f>
        <v/>
      </c>
      <c r="I24" s="62">
        <f t="shared" si="0"/>
        <v>0</v>
      </c>
      <c r="J24" s="61" t="str">
        <f t="shared" si="1"/>
        <v>—</v>
      </c>
    </row>
    <row r="25" spans="1:10" ht="15" customHeight="1" x14ac:dyDescent="0.2">
      <c r="A25" s="61" t="s">
        <v>115</v>
      </c>
      <c r="B25" s="61">
        <v>2</v>
      </c>
      <c r="C25" s="61">
        <f>COUNTIFS(Live_Input!Q3:Q102,2,Live_Input!L3:L102,"&lt;&gt;"&amp;"")</f>
        <v>0</v>
      </c>
      <c r="D25" s="62" t="str">
        <f>IFERROR(COUNTIFS(Live_Input!Q3:Q102,2,Live_Input!L3:L102,"Fastball")/C25,"")</f>
        <v/>
      </c>
      <c r="E25" s="62" t="str">
        <f>IFERROR(COUNTIFS(Live_Input!Q3:Q102,2,Live_Input!L3:L102,"Curveball")/C25,"")</f>
        <v/>
      </c>
      <c r="F25" s="62" t="str">
        <f>IFERROR(COUNTIFS(Live_Input!Q3:Q102,2,Live_Input!L3:L102,"Slider")/C25,"")</f>
        <v/>
      </c>
      <c r="G25" s="62" t="str">
        <f>IFERROR(COUNTIFS(Live_Input!Q3:Q102,2,Live_Input!L3:L102,"Changeup")/C25,"")</f>
        <v/>
      </c>
      <c r="H25" s="61" t="str">
        <f>IFERROR(INDEX({"Fastball","Curveball","Slider","Changeup"},MATCH(MAX(D25:G25),D25:G25,0)),"")</f>
        <v/>
      </c>
      <c r="I25" s="62">
        <f t="shared" si="0"/>
        <v>0</v>
      </c>
      <c r="J25" s="61" t="str">
        <f t="shared" si="1"/>
        <v>—</v>
      </c>
    </row>
    <row r="26" spans="1:10" ht="15" customHeight="1" x14ac:dyDescent="0.2">
      <c r="A26" s="61" t="s">
        <v>115</v>
      </c>
      <c r="B26" s="61">
        <v>3</v>
      </c>
      <c r="C26" s="61">
        <f>COUNTIFS(Live_Input!Q3:Q102,3,Live_Input!L3:L102,"&lt;&gt;"&amp;"")</f>
        <v>0</v>
      </c>
      <c r="D26" s="62" t="str">
        <f>IFERROR(COUNTIFS(Live_Input!Q3:Q102,3,Live_Input!L3:L102,"Fastball")/C26,"")</f>
        <v/>
      </c>
      <c r="E26" s="62" t="str">
        <f>IFERROR(COUNTIFS(Live_Input!Q3:Q102,3,Live_Input!L3:L102,"Curveball")/C26,"")</f>
        <v/>
      </c>
      <c r="F26" s="62" t="str">
        <f>IFERROR(COUNTIFS(Live_Input!Q3:Q102,3,Live_Input!L3:L102,"Slider")/C26,"")</f>
        <v/>
      </c>
      <c r="G26" s="62" t="str">
        <f>IFERROR(COUNTIFS(Live_Input!Q3:Q102,3,Live_Input!L3:L102,"Changeup")/C26,"")</f>
        <v/>
      </c>
      <c r="H26" s="61" t="str">
        <f>IFERROR(INDEX({"Fastball","Curveball","Slider","Changeup"},MATCH(MAX(D26:G26),D26:G26,0)),"")</f>
        <v/>
      </c>
      <c r="I26" s="62">
        <f t="shared" si="0"/>
        <v>0</v>
      </c>
      <c r="J26" s="61" t="str">
        <f t="shared" si="1"/>
        <v>—</v>
      </c>
    </row>
    <row r="27" spans="1:10" ht="15" customHeight="1" x14ac:dyDescent="0.2">
      <c r="A27" s="61" t="s">
        <v>115</v>
      </c>
      <c r="B27" s="61">
        <v>4</v>
      </c>
      <c r="C27" s="61">
        <f>COUNTIFS(Live_Input!Q3:Q102,4,Live_Input!L3:L102,"&lt;&gt;"&amp;"")</f>
        <v>0</v>
      </c>
      <c r="D27" s="62" t="str">
        <f>IFERROR(COUNTIFS(Live_Input!Q3:Q102,4,Live_Input!L3:L102,"Fastball")/C27,"")</f>
        <v/>
      </c>
      <c r="E27" s="62" t="str">
        <f>IFERROR(COUNTIFS(Live_Input!Q3:Q102,4,Live_Input!L3:L102,"Curveball")/C27,"")</f>
        <v/>
      </c>
      <c r="F27" s="62" t="str">
        <f>IFERROR(COUNTIFS(Live_Input!Q3:Q102,4,Live_Input!L3:L102,"Slider")/C27,"")</f>
        <v/>
      </c>
      <c r="G27" s="62" t="str">
        <f>IFERROR(COUNTIFS(Live_Input!Q3:Q102,4,Live_Input!L3:L102,"Changeup")/C27,"")</f>
        <v/>
      </c>
      <c r="H27" s="61" t="str">
        <f>IFERROR(INDEX({"Fastball","Curveball","Slider","Changeup"},MATCH(MAX(D27:G27),D27:G27,0)),"")</f>
        <v/>
      </c>
      <c r="I27" s="62">
        <f t="shared" si="0"/>
        <v>0</v>
      </c>
      <c r="J27" s="61" t="str">
        <f t="shared" si="1"/>
        <v>—</v>
      </c>
    </row>
    <row r="28" spans="1:10" ht="15" customHeight="1" x14ac:dyDescent="0.2">
      <c r="A28" s="61" t="s">
        <v>115</v>
      </c>
      <c r="B28" s="61">
        <v>5</v>
      </c>
      <c r="C28" s="61">
        <f>COUNTIFS(Live_Input!Q3:Q102,5,Live_Input!L3:L102,"&lt;&gt;"&amp;"")</f>
        <v>0</v>
      </c>
      <c r="D28" s="62" t="str">
        <f>IFERROR(COUNTIFS(Live_Input!Q3:Q102,5,Live_Input!L3:L102,"Fastball")/C28,"")</f>
        <v/>
      </c>
      <c r="E28" s="62" t="str">
        <f>IFERROR(COUNTIFS(Live_Input!Q3:Q102,5,Live_Input!L3:L102,"Curveball")/C28,"")</f>
        <v/>
      </c>
      <c r="F28" s="62" t="str">
        <f>IFERROR(COUNTIFS(Live_Input!Q3:Q102,5,Live_Input!L3:L102,"Slider")/C28,"")</f>
        <v/>
      </c>
      <c r="G28" s="62" t="str">
        <f>IFERROR(COUNTIFS(Live_Input!Q3:Q102,5,Live_Input!L3:L102,"Changeup")/C28,"")</f>
        <v/>
      </c>
      <c r="H28" s="61" t="str">
        <f>IFERROR(INDEX({"Fastball","Curveball","Slider","Changeup"},MATCH(MAX(D28:G28),D28:G28,0)),"")</f>
        <v/>
      </c>
      <c r="I28" s="62">
        <f t="shared" si="0"/>
        <v>0</v>
      </c>
      <c r="J28" s="61" t="str">
        <f t="shared" si="1"/>
        <v>—</v>
      </c>
    </row>
    <row r="29" spans="1:10" ht="15" customHeight="1" x14ac:dyDescent="0.2">
      <c r="A29" s="61" t="s">
        <v>116</v>
      </c>
      <c r="B29" s="61">
        <v>1</v>
      </c>
      <c r="C29" s="61">
        <f>COUNTIFS(Live_Input!R3:R102,1,Live_Input!L3:L102,"&lt;&gt;"&amp;"")</f>
        <v>0</v>
      </c>
      <c r="D29" s="62" t="str">
        <f>IFERROR(COUNTIFS(Live_Input!R3:R102,1,Live_Input!L3:L102,"Fastball")/C29,"")</f>
        <v/>
      </c>
      <c r="E29" s="62" t="str">
        <f>IFERROR(COUNTIFS(Live_Input!R3:R102,1,Live_Input!L3:L102,"Curveball")/C29,"")</f>
        <v/>
      </c>
      <c r="F29" s="62" t="str">
        <f>IFERROR(COUNTIFS(Live_Input!R3:R102,1,Live_Input!L3:L102,"Slider")/C29,"")</f>
        <v/>
      </c>
      <c r="G29" s="62" t="str">
        <f>IFERROR(COUNTIFS(Live_Input!R3:R102,1,Live_Input!L3:L102,"Changeup")/C29,"")</f>
        <v/>
      </c>
      <c r="H29" s="61" t="str">
        <f>IFERROR(INDEX({"Fastball","Curveball","Slider","Changeup"},MATCH(MAX(D29:G29),D29:G29,0)),"")</f>
        <v/>
      </c>
      <c r="I29" s="62">
        <f t="shared" si="0"/>
        <v>0</v>
      </c>
      <c r="J29" s="61" t="str">
        <f t="shared" si="1"/>
        <v>—</v>
      </c>
    </row>
    <row r="30" spans="1:10" ht="15" customHeight="1" x14ac:dyDescent="0.2">
      <c r="A30" s="61" t="s">
        <v>116</v>
      </c>
      <c r="B30" s="61">
        <v>2</v>
      </c>
      <c r="C30" s="61">
        <f>COUNTIFS(Live_Input!R3:R102,2,Live_Input!L3:L102,"&lt;&gt;"&amp;"")</f>
        <v>0</v>
      </c>
      <c r="D30" s="62" t="str">
        <f>IFERROR(COUNTIFS(Live_Input!R3:R102,2,Live_Input!L3:L102,"Fastball")/C30,"")</f>
        <v/>
      </c>
      <c r="E30" s="62" t="str">
        <f>IFERROR(COUNTIFS(Live_Input!R3:R102,2,Live_Input!L3:L102,"Curveball")/C30,"")</f>
        <v/>
      </c>
      <c r="F30" s="62" t="str">
        <f>IFERROR(COUNTIFS(Live_Input!R3:R102,2,Live_Input!L3:L102,"Slider")/C30,"")</f>
        <v/>
      </c>
      <c r="G30" s="62" t="str">
        <f>IFERROR(COUNTIFS(Live_Input!R3:R102,2,Live_Input!L3:L102,"Changeup")/C30,"")</f>
        <v/>
      </c>
      <c r="H30" s="61" t="str">
        <f>IFERROR(INDEX({"Fastball","Curveball","Slider","Changeup"},MATCH(MAX(D30:G30),D30:G30,0)),"")</f>
        <v/>
      </c>
      <c r="I30" s="62">
        <f t="shared" si="0"/>
        <v>0</v>
      </c>
      <c r="J30" s="61" t="str">
        <f t="shared" si="1"/>
        <v>—</v>
      </c>
    </row>
    <row r="31" spans="1:10" ht="15" customHeight="1" x14ac:dyDescent="0.2">
      <c r="A31" s="61" t="s">
        <v>116</v>
      </c>
      <c r="B31" s="61">
        <v>3</v>
      </c>
      <c r="C31" s="61">
        <f>COUNTIFS(Live_Input!R3:R102,3,Live_Input!L3:L102,"&lt;&gt;"&amp;"")</f>
        <v>0</v>
      </c>
      <c r="D31" s="62" t="str">
        <f>IFERROR(COUNTIFS(Live_Input!R3:R102,3,Live_Input!L3:L102,"Fastball")/C31,"")</f>
        <v/>
      </c>
      <c r="E31" s="62" t="str">
        <f>IFERROR(COUNTIFS(Live_Input!R3:R102,3,Live_Input!L3:L102,"Curveball")/C31,"")</f>
        <v/>
      </c>
      <c r="F31" s="62" t="str">
        <f>IFERROR(COUNTIFS(Live_Input!R3:R102,3,Live_Input!L3:L102,"Slider")/C31,"")</f>
        <v/>
      </c>
      <c r="G31" s="62" t="str">
        <f>IFERROR(COUNTIFS(Live_Input!R3:R102,3,Live_Input!L3:L102,"Changeup")/C31,"")</f>
        <v/>
      </c>
      <c r="H31" s="61" t="str">
        <f>IFERROR(INDEX({"Fastball","Curveball","Slider","Changeup"},MATCH(MAX(D31:G31),D31:G31,0)),"")</f>
        <v/>
      </c>
      <c r="I31" s="62">
        <f t="shared" si="0"/>
        <v>0</v>
      </c>
      <c r="J31" s="61" t="str">
        <f t="shared" si="1"/>
        <v>—</v>
      </c>
    </row>
    <row r="32" spans="1:10" ht="15" customHeight="1" x14ac:dyDescent="0.2">
      <c r="A32" s="61" t="s">
        <v>116</v>
      </c>
      <c r="B32" s="61">
        <v>4</v>
      </c>
      <c r="C32" s="61">
        <f>COUNTIFS(Live_Input!R3:R102,4,Live_Input!L3:L102,"&lt;&gt;"&amp;"")</f>
        <v>0</v>
      </c>
      <c r="D32" s="62" t="str">
        <f>IFERROR(COUNTIFS(Live_Input!R3:R102,4,Live_Input!L3:L102,"Fastball")/C32,"")</f>
        <v/>
      </c>
      <c r="E32" s="62" t="str">
        <f>IFERROR(COUNTIFS(Live_Input!R3:R102,4,Live_Input!L3:L102,"Curveball")/C32,"")</f>
        <v/>
      </c>
      <c r="F32" s="62" t="str">
        <f>IFERROR(COUNTIFS(Live_Input!R3:R102,4,Live_Input!L3:L102,"Slider")/C32,"")</f>
        <v/>
      </c>
      <c r="G32" s="62" t="str">
        <f>IFERROR(COUNTIFS(Live_Input!R3:R102,4,Live_Input!L3:L102,"Changeup")/C32,"")</f>
        <v/>
      </c>
      <c r="H32" s="61" t="str">
        <f>IFERROR(INDEX({"Fastball","Curveball","Slider","Changeup"},MATCH(MAX(D32:G32),D32:G32,0)),"")</f>
        <v/>
      </c>
      <c r="I32" s="62">
        <f t="shared" si="0"/>
        <v>0</v>
      </c>
      <c r="J32" s="61" t="str">
        <f t="shared" si="1"/>
        <v>—</v>
      </c>
    </row>
    <row r="33" spans="1:10" ht="15" customHeight="1" x14ac:dyDescent="0.2">
      <c r="A33" s="61" t="s">
        <v>116</v>
      </c>
      <c r="B33" s="61">
        <v>5</v>
      </c>
      <c r="C33" s="61">
        <f>COUNTIFS(Live_Input!R3:R102,5,Live_Input!L3:L102,"&lt;&gt;"&amp;"")</f>
        <v>0</v>
      </c>
      <c r="D33" s="62" t="str">
        <f>IFERROR(COUNTIFS(Live_Input!R3:R102,5,Live_Input!L3:L102,"Fastball")/C33,"")</f>
        <v/>
      </c>
      <c r="E33" s="62" t="str">
        <f>IFERROR(COUNTIFS(Live_Input!R3:R102,5,Live_Input!L3:L102,"Curveball")/C33,"")</f>
        <v/>
      </c>
      <c r="F33" s="62" t="str">
        <f>IFERROR(COUNTIFS(Live_Input!R3:R102,5,Live_Input!L3:L102,"Slider")/C33,"")</f>
        <v/>
      </c>
      <c r="G33" s="62" t="str">
        <f>IFERROR(COUNTIFS(Live_Input!R3:R102,5,Live_Input!L3:L102,"Changeup")/C33,"")</f>
        <v/>
      </c>
      <c r="H33" s="61" t="str">
        <f>IFERROR(INDEX({"Fastball","Curveball","Slider","Changeup"},MATCH(MAX(D33:G33),D33:G33,0)),"")</f>
        <v/>
      </c>
      <c r="I33" s="62">
        <f t="shared" si="0"/>
        <v>0</v>
      </c>
      <c r="J33" s="61" t="str">
        <f t="shared" si="1"/>
        <v>—</v>
      </c>
    </row>
    <row r="34" spans="1:10" ht="15" customHeight="1" x14ac:dyDescent="0.2">
      <c r="A34" s="61" t="s">
        <v>117</v>
      </c>
      <c r="B34" s="61">
        <v>1</v>
      </c>
      <c r="C34" s="61">
        <f>COUNTIFS(Live_Input!S3:S102,1,Live_Input!L3:L102,"&lt;&gt;"&amp;"")</f>
        <v>0</v>
      </c>
      <c r="D34" s="62" t="str">
        <f>IFERROR(COUNTIFS(Live_Input!S3:S102,1,Live_Input!L3:L102,"Fastball")/C34,"")</f>
        <v/>
      </c>
      <c r="E34" s="62" t="str">
        <f>IFERROR(COUNTIFS(Live_Input!S3:S102,1,Live_Input!L3:L102,"Curveball")/C34,"")</f>
        <v/>
      </c>
      <c r="F34" s="62" t="str">
        <f>IFERROR(COUNTIFS(Live_Input!S3:S102,1,Live_Input!L3:L102,"Slider")/C34,"")</f>
        <v/>
      </c>
      <c r="G34" s="62" t="str">
        <f>IFERROR(COUNTIFS(Live_Input!S3:S102,1,Live_Input!L3:L102,"Changeup")/C34,"")</f>
        <v/>
      </c>
      <c r="H34" s="61" t="str">
        <f>IFERROR(INDEX({"Fastball","Curveball","Slider","Changeup"},MATCH(MAX(D34:G34),D34:G34,0)),"")</f>
        <v/>
      </c>
      <c r="I34" s="62">
        <f t="shared" si="0"/>
        <v>0</v>
      </c>
      <c r="J34" s="61" t="str">
        <f t="shared" si="1"/>
        <v>—</v>
      </c>
    </row>
    <row r="35" spans="1:10" ht="15" customHeight="1" x14ac:dyDescent="0.2">
      <c r="A35" s="61" t="s">
        <v>117</v>
      </c>
      <c r="B35" s="61">
        <v>2</v>
      </c>
      <c r="C35" s="61">
        <f>COUNTIFS(Live_Input!S3:S102,2,Live_Input!L3:L102,"&lt;&gt;"&amp;"")</f>
        <v>0</v>
      </c>
      <c r="D35" s="62" t="str">
        <f>IFERROR(COUNTIFS(Live_Input!S3:S102,2,Live_Input!L3:L102,"Fastball")/C35,"")</f>
        <v/>
      </c>
      <c r="E35" s="62" t="str">
        <f>IFERROR(COUNTIFS(Live_Input!S3:S102,2,Live_Input!L3:L102,"Curveball")/C35,"")</f>
        <v/>
      </c>
      <c r="F35" s="62" t="str">
        <f>IFERROR(COUNTIFS(Live_Input!S3:S102,2,Live_Input!L3:L102,"Slider")/C35,"")</f>
        <v/>
      </c>
      <c r="G35" s="62" t="str">
        <f>IFERROR(COUNTIFS(Live_Input!S3:S102,2,Live_Input!L3:L102,"Changeup")/C35,"")</f>
        <v/>
      </c>
      <c r="H35" s="61" t="str">
        <f>IFERROR(INDEX({"Fastball","Curveball","Slider","Changeup"},MATCH(MAX(D35:G35),D35:G35,0)),"")</f>
        <v/>
      </c>
      <c r="I35" s="62">
        <f t="shared" si="0"/>
        <v>0</v>
      </c>
      <c r="J35" s="61" t="str">
        <f t="shared" si="1"/>
        <v>—</v>
      </c>
    </row>
    <row r="36" spans="1:10" ht="15" customHeight="1" x14ac:dyDescent="0.2">
      <c r="A36" s="61" t="s">
        <v>117</v>
      </c>
      <c r="B36" s="61">
        <v>3</v>
      </c>
      <c r="C36" s="61">
        <f>COUNTIFS(Live_Input!S3:S102,3,Live_Input!L3:L102,"&lt;&gt;"&amp;"")</f>
        <v>0</v>
      </c>
      <c r="D36" s="62" t="str">
        <f>IFERROR(COUNTIFS(Live_Input!S3:S102,3,Live_Input!L3:L102,"Fastball")/C36,"")</f>
        <v/>
      </c>
      <c r="E36" s="62" t="str">
        <f>IFERROR(COUNTIFS(Live_Input!S3:S102,3,Live_Input!L3:L102,"Curveball")/C36,"")</f>
        <v/>
      </c>
      <c r="F36" s="62" t="str">
        <f>IFERROR(COUNTIFS(Live_Input!S3:S102,3,Live_Input!L3:L102,"Slider")/C36,"")</f>
        <v/>
      </c>
      <c r="G36" s="62" t="str">
        <f>IFERROR(COUNTIFS(Live_Input!S3:S102,3,Live_Input!L3:L102,"Changeup")/C36,"")</f>
        <v/>
      </c>
      <c r="H36" s="61" t="str">
        <f>IFERROR(INDEX({"Fastball","Curveball","Slider","Changeup"},MATCH(MAX(D36:G36),D36:G36,0)),"")</f>
        <v/>
      </c>
      <c r="I36" s="62">
        <f t="shared" si="0"/>
        <v>0</v>
      </c>
      <c r="J36" s="61" t="str">
        <f t="shared" si="1"/>
        <v>—</v>
      </c>
    </row>
    <row r="37" spans="1:10" ht="15" customHeight="1" x14ac:dyDescent="0.2">
      <c r="A37" s="61" t="s">
        <v>117</v>
      </c>
      <c r="B37" s="61">
        <v>4</v>
      </c>
      <c r="C37" s="61">
        <f>COUNTIFS(Live_Input!S3:S102,4,Live_Input!L3:L102,"&lt;&gt;"&amp;"")</f>
        <v>0</v>
      </c>
      <c r="D37" s="62" t="str">
        <f>IFERROR(COUNTIFS(Live_Input!S3:S102,4,Live_Input!L3:L102,"Fastball")/C37,"")</f>
        <v/>
      </c>
      <c r="E37" s="62" t="str">
        <f>IFERROR(COUNTIFS(Live_Input!S3:S102,4,Live_Input!L3:L102,"Curveball")/C37,"")</f>
        <v/>
      </c>
      <c r="F37" s="62" t="str">
        <f>IFERROR(COUNTIFS(Live_Input!S3:S102,4,Live_Input!L3:L102,"Slider")/C37,"")</f>
        <v/>
      </c>
      <c r="G37" s="62" t="str">
        <f>IFERROR(COUNTIFS(Live_Input!S3:S102,4,Live_Input!L3:L102,"Changeup")/C37,"")</f>
        <v/>
      </c>
      <c r="H37" s="61" t="str">
        <f>IFERROR(INDEX({"Fastball","Curveball","Slider","Changeup"},MATCH(MAX(D37:G37),D37:G37,0)),"")</f>
        <v/>
      </c>
      <c r="I37" s="62">
        <f t="shared" si="0"/>
        <v>0</v>
      </c>
      <c r="J37" s="61" t="str">
        <f t="shared" si="1"/>
        <v>—</v>
      </c>
    </row>
    <row r="38" spans="1:10" ht="15" customHeight="1" x14ac:dyDescent="0.2">
      <c r="A38" s="61" t="s">
        <v>117</v>
      </c>
      <c r="B38" s="61">
        <v>5</v>
      </c>
      <c r="C38" s="61">
        <f>COUNTIFS(Live_Input!S3:S102,5,Live_Input!L3:L102,"&lt;&gt;"&amp;"")</f>
        <v>0</v>
      </c>
      <c r="D38" s="62" t="str">
        <f>IFERROR(COUNTIFS(Live_Input!S3:S102,5,Live_Input!L3:L102,"Fastball")/C38,"")</f>
        <v/>
      </c>
      <c r="E38" s="62" t="str">
        <f>IFERROR(COUNTIFS(Live_Input!S3:S102,5,Live_Input!L3:L102,"Curveball")/C38,"")</f>
        <v/>
      </c>
      <c r="F38" s="62" t="str">
        <f>IFERROR(COUNTIFS(Live_Input!S3:S102,5,Live_Input!L3:L102,"Slider")/C38,"")</f>
        <v/>
      </c>
      <c r="G38" s="62" t="str">
        <f>IFERROR(COUNTIFS(Live_Input!S3:S102,5,Live_Input!L3:L102,"Changeup")/C38,"")</f>
        <v/>
      </c>
      <c r="H38" s="61" t="str">
        <f>IFERROR(INDEX({"Fastball","Curveball","Slider","Changeup"},MATCH(MAX(D38:G38),D38:G38,0)),"")</f>
        <v/>
      </c>
      <c r="I38" s="62">
        <f t="shared" si="0"/>
        <v>0</v>
      </c>
      <c r="J38" s="61" t="str">
        <f t="shared" si="1"/>
        <v>—</v>
      </c>
    </row>
  </sheetData>
  <mergeCells count="2">
    <mergeCell ref="A1:J1"/>
    <mergeCell ref="A2:J2"/>
  </mergeCells>
  <conditionalFormatting sqref="A4:J39">
    <cfRule type="expression" dxfId="0" priority="2">
      <formula>AND($C4&gt;=5,$I4&gt;=0.8)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B165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120" customWidth="1"/>
    <col min="2" max="2" width="80" customWidth="1"/>
  </cols>
  <sheetData>
    <row r="1" spans="1:2" ht="31.5" customHeight="1" x14ac:dyDescent="0.2">
      <c r="A1" s="71" t="s">
        <v>118</v>
      </c>
      <c r="B1" s="71"/>
    </row>
    <row r="2" spans="1:2" ht="23.25" customHeight="1" x14ac:dyDescent="0.2">
      <c r="A2" s="63" t="s">
        <v>119</v>
      </c>
      <c r="B2" s="64" t="s">
        <v>120</v>
      </c>
    </row>
    <row r="3" spans="1:2" ht="15.75" customHeight="1" x14ac:dyDescent="0.2">
      <c r="A3" s="65" t="s">
        <v>121</v>
      </c>
    </row>
    <row r="4" spans="1:2" ht="15.75" customHeight="1" x14ac:dyDescent="0.2">
      <c r="A4" s="66" t="s">
        <v>122</v>
      </c>
    </row>
    <row r="5" spans="1:2" ht="15.75" customHeight="1" x14ac:dyDescent="0.2">
      <c r="A5" s="65" t="s">
        <v>123</v>
      </c>
    </row>
    <row r="6" spans="1:2" ht="15.75" customHeight="1" x14ac:dyDescent="0.2">
      <c r="A6" s="66" t="s">
        <v>124</v>
      </c>
    </row>
    <row r="7" spans="1:2" ht="15.75" customHeight="1" x14ac:dyDescent="0.2">
      <c r="A7" s="65" t="s">
        <v>125</v>
      </c>
    </row>
    <row r="8" spans="1:2" ht="15.75" customHeight="1" x14ac:dyDescent="0.2">
      <c r="A8" s="66" t="s">
        <v>126</v>
      </c>
    </row>
    <row r="9" spans="1:2" ht="15.75" customHeight="1" x14ac:dyDescent="0.2">
      <c r="A9" s="65" t="s">
        <v>122</v>
      </c>
    </row>
    <row r="10" spans="1:2" ht="15.75" customHeight="1" x14ac:dyDescent="0.2">
      <c r="A10" s="66"/>
    </row>
    <row r="11" spans="1:2" ht="15.75" customHeight="1" x14ac:dyDescent="0.2">
      <c r="A11" s="65" t="s">
        <v>127</v>
      </c>
    </row>
    <row r="12" spans="1:2" ht="15.75" customHeight="1" x14ac:dyDescent="0.2">
      <c r="A12" s="66" t="s">
        <v>128</v>
      </c>
    </row>
    <row r="13" spans="1:2" ht="15.75" customHeight="1" x14ac:dyDescent="0.2">
      <c r="A13" s="65" t="s">
        <v>129</v>
      </c>
    </row>
    <row r="14" spans="1:2" ht="15.75" customHeight="1" x14ac:dyDescent="0.2">
      <c r="A14" s="66" t="s">
        <v>130</v>
      </c>
    </row>
    <row r="15" spans="1:2" ht="15.75" customHeight="1" x14ac:dyDescent="0.2">
      <c r="A15" s="65" t="s">
        <v>131</v>
      </c>
    </row>
    <row r="16" spans="1:2" ht="15.75" customHeight="1" x14ac:dyDescent="0.2">
      <c r="A16" s="66"/>
    </row>
    <row r="17" spans="1:1" ht="15.75" customHeight="1" x14ac:dyDescent="0.2">
      <c r="A17" s="65" t="s">
        <v>132</v>
      </c>
    </row>
    <row r="18" spans="1:1" ht="15.75" customHeight="1" x14ac:dyDescent="0.2">
      <c r="A18" s="66" t="s">
        <v>133</v>
      </c>
    </row>
    <row r="19" spans="1:1" ht="15.75" customHeight="1" x14ac:dyDescent="0.2">
      <c r="A19" s="65" t="s">
        <v>134</v>
      </c>
    </row>
    <row r="20" spans="1:1" ht="15.75" customHeight="1" x14ac:dyDescent="0.2">
      <c r="A20" s="66" t="s">
        <v>135</v>
      </c>
    </row>
    <row r="21" spans="1:1" ht="15.75" customHeight="1" x14ac:dyDescent="0.2">
      <c r="A21" s="65" t="s">
        <v>136</v>
      </c>
    </row>
    <row r="22" spans="1:1" ht="15.75" customHeight="1" x14ac:dyDescent="0.2">
      <c r="A22" s="66" t="s">
        <v>137</v>
      </c>
    </row>
    <row r="23" spans="1:1" ht="15.75" customHeight="1" x14ac:dyDescent="0.2">
      <c r="A23" s="65"/>
    </row>
    <row r="24" spans="1:1" ht="15.75" customHeight="1" x14ac:dyDescent="0.2">
      <c r="A24" s="66" t="s">
        <v>138</v>
      </c>
    </row>
    <row r="25" spans="1:1" ht="15.75" customHeight="1" x14ac:dyDescent="0.2">
      <c r="A25" s="65" t="s">
        <v>139</v>
      </c>
    </row>
    <row r="26" spans="1:1" ht="15.75" customHeight="1" x14ac:dyDescent="0.2">
      <c r="A26" s="66" t="s">
        <v>140</v>
      </c>
    </row>
    <row r="27" spans="1:1" ht="15.75" customHeight="1" x14ac:dyDescent="0.2">
      <c r="A27" s="65"/>
    </row>
    <row r="28" spans="1:1" ht="15.75" customHeight="1" x14ac:dyDescent="0.2">
      <c r="A28" s="66" t="s">
        <v>141</v>
      </c>
    </row>
    <row r="29" spans="1:1" ht="15.75" customHeight="1" x14ac:dyDescent="0.2">
      <c r="A29" s="65" t="s">
        <v>142</v>
      </c>
    </row>
    <row r="30" spans="1:1" ht="15.75" customHeight="1" x14ac:dyDescent="0.2">
      <c r="A30" s="66" t="s">
        <v>143</v>
      </c>
    </row>
    <row r="31" spans="1:1" ht="15.75" customHeight="1" x14ac:dyDescent="0.2">
      <c r="A31" s="65"/>
    </row>
    <row r="32" spans="1:1" ht="15.75" customHeight="1" x14ac:dyDescent="0.2">
      <c r="A32" s="66" t="s">
        <v>144</v>
      </c>
    </row>
    <row r="33" spans="1:1" ht="15.75" customHeight="1" x14ac:dyDescent="0.2">
      <c r="A33" s="65" t="s">
        <v>145</v>
      </c>
    </row>
    <row r="34" spans="1:1" ht="15.75" customHeight="1" x14ac:dyDescent="0.2">
      <c r="A34" s="66" t="s">
        <v>146</v>
      </c>
    </row>
    <row r="35" spans="1:1" ht="15.75" customHeight="1" x14ac:dyDescent="0.2">
      <c r="A35" s="65"/>
    </row>
    <row r="36" spans="1:1" ht="15.75" customHeight="1" x14ac:dyDescent="0.2">
      <c r="A36" s="66" t="s">
        <v>147</v>
      </c>
    </row>
    <row r="37" spans="1:1" ht="15.75" customHeight="1" x14ac:dyDescent="0.2">
      <c r="A37" s="65" t="s">
        <v>148</v>
      </c>
    </row>
    <row r="38" spans="1:1" ht="15.75" customHeight="1" x14ac:dyDescent="0.2">
      <c r="A38" s="66" t="s">
        <v>149</v>
      </c>
    </row>
    <row r="39" spans="1:1" ht="15.75" customHeight="1" x14ac:dyDescent="0.2">
      <c r="A39" s="65"/>
    </row>
    <row r="40" spans="1:1" ht="15.75" customHeight="1" x14ac:dyDescent="0.2">
      <c r="A40" s="66" t="s">
        <v>150</v>
      </c>
    </row>
    <row r="41" spans="1:1" ht="15.75" customHeight="1" x14ac:dyDescent="0.2">
      <c r="A41" s="65" t="s">
        <v>151</v>
      </c>
    </row>
    <row r="42" spans="1:1" ht="15.75" customHeight="1" x14ac:dyDescent="0.2">
      <c r="A42" s="66"/>
    </row>
    <row r="43" spans="1:1" ht="15.75" customHeight="1" x14ac:dyDescent="0.2">
      <c r="A43" s="65" t="s">
        <v>152</v>
      </c>
    </row>
    <row r="44" spans="1:1" ht="15.75" customHeight="1" x14ac:dyDescent="0.2">
      <c r="A44" s="66" t="s">
        <v>153</v>
      </c>
    </row>
    <row r="45" spans="1:1" ht="15.75" customHeight="1" x14ac:dyDescent="0.2">
      <c r="A45" s="65" t="s">
        <v>154</v>
      </c>
    </row>
    <row r="46" spans="1:1" ht="15.75" customHeight="1" x14ac:dyDescent="0.2">
      <c r="A46" s="66"/>
    </row>
    <row r="47" spans="1:1" ht="15.75" customHeight="1" x14ac:dyDescent="0.2">
      <c r="A47" s="65" t="s">
        <v>155</v>
      </c>
    </row>
    <row r="48" spans="1:1" ht="15.75" customHeight="1" x14ac:dyDescent="0.2">
      <c r="A48" s="66" t="s">
        <v>156</v>
      </c>
    </row>
    <row r="49" spans="1:1" ht="15.75" customHeight="1" x14ac:dyDescent="0.2">
      <c r="A49" s="65" t="s">
        <v>157</v>
      </c>
    </row>
    <row r="50" spans="1:1" ht="15.75" customHeight="1" x14ac:dyDescent="0.2">
      <c r="A50" s="66" t="s">
        <v>158</v>
      </c>
    </row>
    <row r="51" spans="1:1" ht="15.75" customHeight="1" x14ac:dyDescent="0.2">
      <c r="A51" s="65" t="s">
        <v>159</v>
      </c>
    </row>
    <row r="52" spans="1:1" ht="15.75" customHeight="1" x14ac:dyDescent="0.2">
      <c r="A52" s="66" t="s">
        <v>160</v>
      </c>
    </row>
    <row r="53" spans="1:1" ht="15.75" customHeight="1" x14ac:dyDescent="0.2">
      <c r="A53" s="65" t="s">
        <v>161</v>
      </c>
    </row>
    <row r="54" spans="1:1" ht="15.75" customHeight="1" x14ac:dyDescent="0.2">
      <c r="A54" s="66" t="s">
        <v>162</v>
      </c>
    </row>
    <row r="55" spans="1:1" ht="15.75" customHeight="1" x14ac:dyDescent="0.2">
      <c r="A55" s="65" t="s">
        <v>163</v>
      </c>
    </row>
    <row r="56" spans="1:1" ht="15.75" customHeight="1" x14ac:dyDescent="0.2">
      <c r="A56" s="66" t="s">
        <v>164</v>
      </c>
    </row>
    <row r="57" spans="1:1" ht="15.75" customHeight="1" x14ac:dyDescent="0.2">
      <c r="A57" s="65" t="s">
        <v>165</v>
      </c>
    </row>
    <row r="58" spans="1:1" ht="15.75" customHeight="1" x14ac:dyDescent="0.2">
      <c r="A58" s="66" t="s">
        <v>166</v>
      </c>
    </row>
    <row r="59" spans="1:1" ht="15.75" customHeight="1" x14ac:dyDescent="0.2">
      <c r="A59" s="65" t="s">
        <v>167</v>
      </c>
    </row>
    <row r="60" spans="1:1" ht="15.75" customHeight="1" x14ac:dyDescent="0.2">
      <c r="A60" s="66" t="s">
        <v>168</v>
      </c>
    </row>
    <row r="61" spans="1:1" ht="15.75" customHeight="1" x14ac:dyDescent="0.2">
      <c r="A61" s="65" t="s">
        <v>169</v>
      </c>
    </row>
    <row r="62" spans="1:1" ht="15.75" customHeight="1" x14ac:dyDescent="0.2">
      <c r="A62" s="66" t="s">
        <v>170</v>
      </c>
    </row>
    <row r="63" spans="1:1" ht="15.75" customHeight="1" x14ac:dyDescent="0.2">
      <c r="A63" s="65"/>
    </row>
    <row r="64" spans="1:1" ht="15.75" customHeight="1" x14ac:dyDescent="0.2">
      <c r="A64" s="66" t="s">
        <v>171</v>
      </c>
    </row>
    <row r="65" spans="1:1" ht="15.75" customHeight="1" x14ac:dyDescent="0.2">
      <c r="A65" s="65" t="s">
        <v>172</v>
      </c>
    </row>
    <row r="66" spans="1:1" ht="15.75" customHeight="1" x14ac:dyDescent="0.2">
      <c r="A66" s="66" t="s">
        <v>173</v>
      </c>
    </row>
    <row r="67" spans="1:1" ht="15.75" customHeight="1" x14ac:dyDescent="0.2">
      <c r="A67" s="65" t="s">
        <v>174</v>
      </c>
    </row>
    <row r="68" spans="1:1" ht="15.75" customHeight="1" x14ac:dyDescent="0.2">
      <c r="A68" s="66"/>
    </row>
    <row r="69" spans="1:1" ht="15.75" customHeight="1" x14ac:dyDescent="0.2">
      <c r="A69" s="65" t="s">
        <v>175</v>
      </c>
    </row>
    <row r="70" spans="1:1" ht="15.75" customHeight="1" x14ac:dyDescent="0.2">
      <c r="A70" s="66" t="s">
        <v>176</v>
      </c>
    </row>
    <row r="71" spans="1:1" ht="15.75" customHeight="1" x14ac:dyDescent="0.2">
      <c r="A71" s="65" t="s">
        <v>177</v>
      </c>
    </row>
    <row r="72" spans="1:1" ht="15.75" customHeight="1" x14ac:dyDescent="0.2">
      <c r="A72" s="66" t="s">
        <v>178</v>
      </c>
    </row>
    <row r="73" spans="1:1" ht="15.75" customHeight="1" x14ac:dyDescent="0.2">
      <c r="A73" s="65" t="s">
        <v>179</v>
      </c>
    </row>
    <row r="74" spans="1:1" ht="15.75" customHeight="1" x14ac:dyDescent="0.2">
      <c r="A74" s="66" t="s">
        <v>180</v>
      </c>
    </row>
    <row r="75" spans="1:1" ht="15.75" customHeight="1" x14ac:dyDescent="0.2">
      <c r="A75" s="65" t="s">
        <v>181</v>
      </c>
    </row>
    <row r="76" spans="1:1" ht="15.75" customHeight="1" x14ac:dyDescent="0.2">
      <c r="A76" s="66" t="s">
        <v>182</v>
      </c>
    </row>
    <row r="77" spans="1:1" ht="15.75" customHeight="1" x14ac:dyDescent="0.2">
      <c r="A77" s="65" t="s">
        <v>183</v>
      </c>
    </row>
    <row r="78" spans="1:1" ht="15.75" customHeight="1" x14ac:dyDescent="0.2">
      <c r="A78" s="66" t="s">
        <v>184</v>
      </c>
    </row>
    <row r="79" spans="1:1" ht="15.75" customHeight="1" x14ac:dyDescent="0.2">
      <c r="A79" s="65" t="s">
        <v>185</v>
      </c>
    </row>
    <row r="80" spans="1:1" ht="15.75" customHeight="1" x14ac:dyDescent="0.2">
      <c r="A80" s="66" t="s">
        <v>186</v>
      </c>
    </row>
    <row r="81" spans="1:1" ht="15.75" customHeight="1" x14ac:dyDescent="0.2">
      <c r="A81" s="65" t="s">
        <v>187</v>
      </c>
    </row>
    <row r="82" spans="1:1" ht="15.75" customHeight="1" x14ac:dyDescent="0.2">
      <c r="A82" s="66" t="s">
        <v>188</v>
      </c>
    </row>
    <row r="83" spans="1:1" ht="15.75" customHeight="1" x14ac:dyDescent="0.2">
      <c r="A83" s="65" t="s">
        <v>189</v>
      </c>
    </row>
    <row r="84" spans="1:1" ht="15.75" customHeight="1" x14ac:dyDescent="0.2">
      <c r="A84" s="66" t="s">
        <v>167</v>
      </c>
    </row>
    <row r="85" spans="1:1" ht="15.75" customHeight="1" x14ac:dyDescent="0.2">
      <c r="A85" s="65" t="s">
        <v>190</v>
      </c>
    </row>
    <row r="86" spans="1:1" ht="15.75" customHeight="1" x14ac:dyDescent="0.2">
      <c r="A86" s="66" t="s">
        <v>191</v>
      </c>
    </row>
    <row r="87" spans="1:1" ht="15.75" customHeight="1" x14ac:dyDescent="0.2">
      <c r="A87" s="65"/>
    </row>
    <row r="88" spans="1:1" ht="15.75" customHeight="1" x14ac:dyDescent="0.2">
      <c r="A88" s="66" t="s">
        <v>192</v>
      </c>
    </row>
    <row r="89" spans="1:1" ht="15.75" customHeight="1" x14ac:dyDescent="0.2">
      <c r="A89" s="65" t="s">
        <v>193</v>
      </c>
    </row>
    <row r="90" spans="1:1" ht="15.75" customHeight="1" x14ac:dyDescent="0.2">
      <c r="A90" s="66" t="s">
        <v>194</v>
      </c>
    </row>
    <row r="91" spans="1:1" ht="15.75" customHeight="1" x14ac:dyDescent="0.2">
      <c r="A91" s="65"/>
    </row>
    <row r="92" spans="1:1" ht="15.75" customHeight="1" x14ac:dyDescent="0.2">
      <c r="A92" s="66" t="s">
        <v>152</v>
      </c>
    </row>
    <row r="93" spans="1:1" ht="15.75" customHeight="1" x14ac:dyDescent="0.2">
      <c r="A93" s="65" t="s">
        <v>153</v>
      </c>
    </row>
    <row r="94" spans="1:1" ht="15.75" customHeight="1" x14ac:dyDescent="0.2">
      <c r="A94" s="66" t="s">
        <v>195</v>
      </c>
    </row>
    <row r="95" spans="1:1" ht="15.75" customHeight="1" x14ac:dyDescent="0.2">
      <c r="A95" s="65" t="s">
        <v>196</v>
      </c>
    </row>
    <row r="96" spans="1:1" ht="15.75" customHeight="1" x14ac:dyDescent="0.2">
      <c r="A96" s="66" t="s">
        <v>197</v>
      </c>
    </row>
    <row r="97" spans="1:1" ht="15.75" customHeight="1" x14ac:dyDescent="0.2">
      <c r="A97" s="65" t="s">
        <v>198</v>
      </c>
    </row>
    <row r="98" spans="1:1" ht="15.75" customHeight="1" x14ac:dyDescent="0.2">
      <c r="A98" s="66" t="s">
        <v>199</v>
      </c>
    </row>
    <row r="99" spans="1:1" ht="15.75" customHeight="1" x14ac:dyDescent="0.2">
      <c r="A99" s="65" t="s">
        <v>200</v>
      </c>
    </row>
    <row r="100" spans="1:1" ht="15.75" customHeight="1" x14ac:dyDescent="0.2">
      <c r="A100" s="66" t="s">
        <v>201</v>
      </c>
    </row>
    <row r="101" spans="1:1" ht="15.75" customHeight="1" x14ac:dyDescent="0.2">
      <c r="A101" s="65" t="s">
        <v>202</v>
      </c>
    </row>
    <row r="102" spans="1:1" ht="15.75" customHeight="1" x14ac:dyDescent="0.2">
      <c r="A102" s="66" t="s">
        <v>203</v>
      </c>
    </row>
    <row r="103" spans="1:1" ht="15.75" customHeight="1" x14ac:dyDescent="0.2">
      <c r="A103" s="65" t="s">
        <v>204</v>
      </c>
    </row>
    <row r="104" spans="1:1" ht="15.75" customHeight="1" x14ac:dyDescent="0.2">
      <c r="A104" s="66" t="s">
        <v>202</v>
      </c>
    </row>
    <row r="105" spans="1:1" ht="15.75" customHeight="1" x14ac:dyDescent="0.2">
      <c r="A105" s="65" t="s">
        <v>170</v>
      </c>
    </row>
    <row r="106" spans="1:1" ht="15.75" customHeight="1" x14ac:dyDescent="0.2">
      <c r="A106" s="66"/>
    </row>
    <row r="107" spans="1:1" ht="15.75" customHeight="1" x14ac:dyDescent="0.2">
      <c r="A107" s="65" t="s">
        <v>205</v>
      </c>
    </row>
    <row r="108" spans="1:1" ht="15.75" customHeight="1" x14ac:dyDescent="0.2">
      <c r="A108" s="66" t="s">
        <v>206</v>
      </c>
    </row>
    <row r="109" spans="1:1" ht="15.75" customHeight="1" x14ac:dyDescent="0.2">
      <c r="A109" s="65" t="s">
        <v>207</v>
      </c>
    </row>
    <row r="110" spans="1:1" ht="15.75" customHeight="1" x14ac:dyDescent="0.2">
      <c r="A110" s="66" t="s">
        <v>208</v>
      </c>
    </row>
    <row r="111" spans="1:1" ht="15.75" customHeight="1" x14ac:dyDescent="0.2">
      <c r="A111" s="65" t="s">
        <v>209</v>
      </c>
    </row>
    <row r="112" spans="1:1" ht="15.75" customHeight="1" x14ac:dyDescent="0.2">
      <c r="A112" s="66" t="s">
        <v>210</v>
      </c>
    </row>
    <row r="113" spans="1:1" ht="15.75" customHeight="1" x14ac:dyDescent="0.2">
      <c r="A113" s="65" t="s">
        <v>211</v>
      </c>
    </row>
    <row r="114" spans="1:1" ht="15.75" customHeight="1" x14ac:dyDescent="0.2">
      <c r="A114" s="66" t="s">
        <v>212</v>
      </c>
    </row>
    <row r="115" spans="1:1" ht="15.75" customHeight="1" x14ac:dyDescent="0.2">
      <c r="A115" s="65" t="s">
        <v>213</v>
      </c>
    </row>
    <row r="116" spans="1:1" ht="15.75" customHeight="1" x14ac:dyDescent="0.2">
      <c r="A116" s="66" t="s">
        <v>214</v>
      </c>
    </row>
    <row r="117" spans="1:1" ht="15.75" customHeight="1" x14ac:dyDescent="0.2">
      <c r="A117" s="65" t="s">
        <v>215</v>
      </c>
    </row>
    <row r="118" spans="1:1" ht="15.75" customHeight="1" x14ac:dyDescent="0.2">
      <c r="A118" s="66" t="s">
        <v>216</v>
      </c>
    </row>
    <row r="119" spans="1:1" ht="15.75" customHeight="1" x14ac:dyDescent="0.2">
      <c r="A119" s="65" t="s">
        <v>217</v>
      </c>
    </row>
    <row r="120" spans="1:1" ht="15.75" customHeight="1" x14ac:dyDescent="0.2">
      <c r="A120" s="66" t="s">
        <v>218</v>
      </c>
    </row>
    <row r="121" spans="1:1" ht="15.75" customHeight="1" x14ac:dyDescent="0.2">
      <c r="A121" s="65" t="s">
        <v>167</v>
      </c>
    </row>
    <row r="122" spans="1:1" ht="15.75" customHeight="1" x14ac:dyDescent="0.2">
      <c r="A122" s="66" t="s">
        <v>202</v>
      </c>
    </row>
    <row r="123" spans="1:1" ht="15.75" customHeight="1" x14ac:dyDescent="0.2">
      <c r="A123" s="65" t="s">
        <v>219</v>
      </c>
    </row>
    <row r="124" spans="1:1" ht="15.75" customHeight="1" x14ac:dyDescent="0.2">
      <c r="A124" s="66"/>
    </row>
    <row r="125" spans="1:1" ht="15.75" customHeight="1" x14ac:dyDescent="0.2">
      <c r="A125" s="65" t="s">
        <v>220</v>
      </c>
    </row>
    <row r="126" spans="1:1" ht="15.75" customHeight="1" x14ac:dyDescent="0.2">
      <c r="A126" s="66" t="s">
        <v>221</v>
      </c>
    </row>
    <row r="127" spans="1:1" ht="15.75" customHeight="1" x14ac:dyDescent="0.2">
      <c r="A127" s="65" t="s">
        <v>222</v>
      </c>
    </row>
    <row r="128" spans="1:1" ht="15.75" customHeight="1" x14ac:dyDescent="0.2">
      <c r="A128" s="66"/>
    </row>
    <row r="129" spans="1:1" ht="15.75" customHeight="1" x14ac:dyDescent="0.2">
      <c r="A129" s="65" t="s">
        <v>207</v>
      </c>
    </row>
    <row r="130" spans="1:1" ht="15.75" customHeight="1" x14ac:dyDescent="0.2">
      <c r="A130" s="66" t="s">
        <v>209</v>
      </c>
    </row>
    <row r="131" spans="1:1" ht="15.75" customHeight="1" x14ac:dyDescent="0.2">
      <c r="A131" s="65" t="s">
        <v>223</v>
      </c>
    </row>
    <row r="132" spans="1:1" ht="15.75" customHeight="1" x14ac:dyDescent="0.2">
      <c r="A132" s="66" t="s">
        <v>224</v>
      </c>
    </row>
    <row r="133" spans="1:1" ht="15.75" customHeight="1" x14ac:dyDescent="0.2">
      <c r="A133" s="65" t="s">
        <v>225</v>
      </c>
    </row>
    <row r="134" spans="1:1" ht="15.75" customHeight="1" x14ac:dyDescent="0.2">
      <c r="A134" s="66" t="s">
        <v>226</v>
      </c>
    </row>
    <row r="135" spans="1:1" ht="15.75" customHeight="1" x14ac:dyDescent="0.2">
      <c r="A135" s="65" t="s">
        <v>227</v>
      </c>
    </row>
    <row r="136" spans="1:1" ht="15.75" customHeight="1" x14ac:dyDescent="0.2">
      <c r="A136" s="66" t="s">
        <v>228</v>
      </c>
    </row>
    <row r="137" spans="1:1" ht="15.75" customHeight="1" x14ac:dyDescent="0.2">
      <c r="A137" s="65" t="s">
        <v>229</v>
      </c>
    </row>
    <row r="138" spans="1:1" ht="15.75" customHeight="1" x14ac:dyDescent="0.2">
      <c r="A138" s="66" t="s">
        <v>230</v>
      </c>
    </row>
    <row r="139" spans="1:1" ht="15.75" customHeight="1" x14ac:dyDescent="0.2">
      <c r="A139" s="65" t="s">
        <v>231</v>
      </c>
    </row>
    <row r="140" spans="1:1" ht="15.75" customHeight="1" x14ac:dyDescent="0.2">
      <c r="A140" s="66" t="s">
        <v>232</v>
      </c>
    </row>
    <row r="141" spans="1:1" ht="15.75" customHeight="1" x14ac:dyDescent="0.2">
      <c r="A141" s="65" t="s">
        <v>233</v>
      </c>
    </row>
    <row r="142" spans="1:1" ht="15.75" customHeight="1" x14ac:dyDescent="0.2">
      <c r="A142" s="66" t="s">
        <v>234</v>
      </c>
    </row>
    <row r="143" spans="1:1" ht="15.75" customHeight="1" x14ac:dyDescent="0.2">
      <c r="A143" s="65" t="s">
        <v>235</v>
      </c>
    </row>
    <row r="144" spans="1:1" ht="15.75" customHeight="1" x14ac:dyDescent="0.2">
      <c r="A144" s="66" t="s">
        <v>236</v>
      </c>
    </row>
    <row r="145" spans="1:1" ht="15.75" customHeight="1" x14ac:dyDescent="0.2">
      <c r="A145" s="65" t="s">
        <v>167</v>
      </c>
    </row>
    <row r="146" spans="1:1" ht="15.75" customHeight="1" x14ac:dyDescent="0.2">
      <c r="A146" s="66" t="s">
        <v>202</v>
      </c>
    </row>
    <row r="147" spans="1:1" ht="15.75" customHeight="1" x14ac:dyDescent="0.2">
      <c r="A147" s="65" t="s">
        <v>219</v>
      </c>
    </row>
    <row r="148" spans="1:1" ht="15.75" customHeight="1" x14ac:dyDescent="0.2">
      <c r="A148" s="66"/>
    </row>
    <row r="149" spans="1:1" ht="15.75" customHeight="1" x14ac:dyDescent="0.2">
      <c r="A149" s="65" t="s">
        <v>237</v>
      </c>
    </row>
    <row r="150" spans="1:1" ht="15.75" customHeight="1" x14ac:dyDescent="0.2">
      <c r="A150" s="66" t="s">
        <v>238</v>
      </c>
    </row>
    <row r="151" spans="1:1" ht="15.75" customHeight="1" x14ac:dyDescent="0.2">
      <c r="A151" s="65" t="s">
        <v>239</v>
      </c>
    </row>
    <row r="152" spans="1:1" ht="15.75" customHeight="1" x14ac:dyDescent="0.2">
      <c r="A152" s="66" t="s">
        <v>240</v>
      </c>
    </row>
    <row r="153" spans="1:1" ht="15.75" customHeight="1" x14ac:dyDescent="0.2">
      <c r="A153" s="65" t="s">
        <v>241</v>
      </c>
    </row>
    <row r="154" spans="1:1" ht="15.75" customHeight="1" x14ac:dyDescent="0.2">
      <c r="A154" s="66" t="s">
        <v>242</v>
      </c>
    </row>
    <row r="155" spans="1:1" ht="15.75" customHeight="1" x14ac:dyDescent="0.2">
      <c r="A155" s="65" t="s">
        <v>240</v>
      </c>
    </row>
    <row r="156" spans="1:1" ht="15.75" customHeight="1" x14ac:dyDescent="0.2">
      <c r="A156" s="66" t="s">
        <v>243</v>
      </c>
    </row>
    <row r="157" spans="1:1" ht="15.75" customHeight="1" x14ac:dyDescent="0.2">
      <c r="A157" s="65" t="s">
        <v>244</v>
      </c>
    </row>
    <row r="158" spans="1:1" ht="15.75" customHeight="1" x14ac:dyDescent="0.2">
      <c r="A158" s="66" t="s">
        <v>137</v>
      </c>
    </row>
    <row r="159" spans="1:1" ht="15.75" customHeight="1" x14ac:dyDescent="0.2">
      <c r="A159" s="65"/>
    </row>
    <row r="160" spans="1:1" ht="15.75" customHeight="1" x14ac:dyDescent="0.2">
      <c r="A160" s="66" t="s">
        <v>245</v>
      </c>
    </row>
    <row r="161" spans="1:1" ht="15.75" customHeight="1" x14ac:dyDescent="0.2">
      <c r="A161" s="65" t="s">
        <v>246</v>
      </c>
    </row>
    <row r="162" spans="1:1" ht="15.75" customHeight="1" x14ac:dyDescent="0.2">
      <c r="A162" s="66"/>
    </row>
    <row r="163" spans="1:1" ht="15.75" customHeight="1" x14ac:dyDescent="0.2">
      <c r="A163" s="65" t="s">
        <v>247</v>
      </c>
    </row>
    <row r="164" spans="1:1" ht="15.75" customHeight="1" x14ac:dyDescent="0.2">
      <c r="A164" s="66"/>
    </row>
    <row r="165" spans="1:1" ht="15.75" customHeight="1" x14ac:dyDescent="0.2">
      <c r="A165" s="65" t="s">
        <v>248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5A5A6"/>
  </sheetPr>
  <dimension ref="A1:C14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30" customWidth="1"/>
    <col min="3" max="3" width="80" customWidth="1"/>
  </cols>
  <sheetData>
    <row r="1" spans="1:3" ht="36" customHeight="1" x14ac:dyDescent="0.2">
      <c r="A1" s="14" t="s">
        <v>249</v>
      </c>
      <c r="B1" s="14"/>
      <c r="C1" s="14"/>
    </row>
    <row r="2" spans="1:3" ht="48" customHeight="1" x14ac:dyDescent="0.2">
      <c r="A2" s="67" t="s">
        <v>250</v>
      </c>
      <c r="B2" s="67" t="s">
        <v>251</v>
      </c>
      <c r="C2" s="67" t="s">
        <v>252</v>
      </c>
    </row>
    <row r="3" spans="1:3" ht="48" customHeight="1" x14ac:dyDescent="0.2">
      <c r="A3" s="68" t="s">
        <v>253</v>
      </c>
      <c r="B3" s="69" t="s">
        <v>254</v>
      </c>
      <c r="C3" s="69" t="s">
        <v>255</v>
      </c>
    </row>
    <row r="4" spans="1:3" ht="48" customHeight="1" x14ac:dyDescent="0.2">
      <c r="A4" s="38" t="s">
        <v>256</v>
      </c>
      <c r="B4" s="39" t="s">
        <v>257</v>
      </c>
      <c r="C4" s="39" t="s">
        <v>258</v>
      </c>
    </row>
    <row r="5" spans="1:3" ht="48" customHeight="1" x14ac:dyDescent="0.2">
      <c r="A5" s="68" t="s">
        <v>259</v>
      </c>
      <c r="B5" s="69" t="s">
        <v>260</v>
      </c>
      <c r="C5" s="69" t="s">
        <v>261</v>
      </c>
    </row>
    <row r="6" spans="1:3" ht="48" customHeight="1" x14ac:dyDescent="0.2">
      <c r="A6" s="38" t="s">
        <v>262</v>
      </c>
      <c r="B6" s="39" t="s">
        <v>263</v>
      </c>
      <c r="C6" s="39" t="s">
        <v>264</v>
      </c>
    </row>
    <row r="7" spans="1:3" ht="48" customHeight="1" x14ac:dyDescent="0.2">
      <c r="A7" s="68" t="s">
        <v>265</v>
      </c>
      <c r="B7" s="69" t="s">
        <v>266</v>
      </c>
      <c r="C7" s="69" t="s">
        <v>267</v>
      </c>
    </row>
    <row r="8" spans="1:3" ht="48" customHeight="1" x14ac:dyDescent="0.2">
      <c r="A8" s="72" t="s">
        <v>268</v>
      </c>
      <c r="B8" s="72"/>
      <c r="C8" s="72"/>
    </row>
    <row r="9" spans="1:3" ht="48" customHeight="1" x14ac:dyDescent="0.2">
      <c r="A9" s="68" t="s">
        <v>269</v>
      </c>
      <c r="B9" s="69" t="s">
        <v>270</v>
      </c>
      <c r="C9" s="69" t="s">
        <v>271</v>
      </c>
    </row>
    <row r="10" spans="1:3" ht="48" customHeight="1" x14ac:dyDescent="0.2">
      <c r="A10" s="38" t="s">
        <v>272</v>
      </c>
      <c r="B10" s="39" t="s">
        <v>273</v>
      </c>
      <c r="C10" s="39" t="s">
        <v>274</v>
      </c>
    </row>
    <row r="11" spans="1:3" ht="48" customHeight="1" x14ac:dyDescent="0.2">
      <c r="A11" s="68" t="s">
        <v>275</v>
      </c>
      <c r="B11" s="69" t="s">
        <v>276</v>
      </c>
      <c r="C11" s="69" t="s">
        <v>277</v>
      </c>
    </row>
    <row r="12" spans="1:3" ht="48" customHeight="1" x14ac:dyDescent="0.2">
      <c r="A12" s="38" t="s">
        <v>278</v>
      </c>
      <c r="B12" s="39" t="s">
        <v>279</v>
      </c>
      <c r="C12" s="39" t="s">
        <v>280</v>
      </c>
    </row>
    <row r="13" spans="1:3" ht="48" customHeight="1" x14ac:dyDescent="0.2">
      <c r="A13" s="68" t="s">
        <v>281</v>
      </c>
      <c r="B13" s="69" t="s">
        <v>282</v>
      </c>
      <c r="C13" s="69" t="s">
        <v>283</v>
      </c>
    </row>
    <row r="14" spans="1:3" ht="48" customHeight="1" x14ac:dyDescent="0.2">
      <c r="A14" s="38" t="s">
        <v>284</v>
      </c>
      <c r="B14" s="39" t="s">
        <v>285</v>
      </c>
      <c r="C14" s="39" t="s">
        <v>286</v>
      </c>
    </row>
  </sheetData>
  <mergeCells count="2">
    <mergeCell ref="A1:C1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Live_Input</vt:lpstr>
      <vt:lpstr>Logic_Core</vt:lpstr>
      <vt:lpstr>RealTime_Prediction</vt:lpstr>
      <vt:lpstr>DeepScan_Engine</vt:lpstr>
      <vt:lpstr>VBA_Macro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Trafton O'Brien</cp:lastModifiedBy>
  <cp:revision>0</cp:revision>
  <dcterms:created xsi:type="dcterms:W3CDTF">2026-02-25T16:25:31Z</dcterms:created>
  <dcterms:modified xsi:type="dcterms:W3CDTF">2026-02-25T17:05:52Z</dcterms:modified>
  <dc:language>en-US</dc:language>
</cp:coreProperties>
</file>